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visitas\"/>
    </mc:Choice>
  </mc:AlternateContent>
  <xr:revisionPtr revIDLastSave="0" documentId="13_ncr:1_{03662632-B1A8-43E3-BC23-3E33EDDC881D}" xr6:coauthVersionLast="47" xr6:coauthVersionMax="47" xr10:uidLastSave="{00000000-0000-0000-0000-000000000000}"/>
  <bookViews>
    <workbookView xWindow="20370" yWindow="-120" windowWidth="29040" windowHeight="15720" xr2:uid="{3AAD6DFC-D512-449D-8372-B7C41E90A1FE}"/>
  </bookViews>
  <sheets>
    <sheet name="CONTRO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" i="1" l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26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H384" i="1" l="1"/>
  <c r="H381" i="1"/>
  <c r="H380" i="1"/>
  <c r="H379" i="1"/>
  <c r="H377" i="1"/>
  <c r="H374" i="1"/>
  <c r="H371" i="1"/>
  <c r="H370" i="1"/>
  <c r="H367" i="1"/>
  <c r="H366" i="1"/>
  <c r="H365" i="1"/>
  <c r="H363" i="1"/>
  <c r="H358" i="1"/>
  <c r="H355" i="1"/>
  <c r="H353" i="1"/>
  <c r="H348" i="1"/>
  <c r="H343" i="1"/>
  <c r="H340" i="1"/>
  <c r="H330" i="1"/>
  <c r="H329" i="1"/>
  <c r="H323" i="1"/>
  <c r="H309" i="1"/>
  <c r="H308" i="1"/>
  <c r="H307" i="1"/>
  <c r="H305" i="1"/>
  <c r="H302" i="1"/>
  <c r="H295" i="1"/>
  <c r="H293" i="1"/>
  <c r="H282" i="1"/>
  <c r="H278" i="1"/>
  <c r="H274" i="1"/>
  <c r="H272" i="1"/>
  <c r="H269" i="1"/>
  <c r="H253" i="1"/>
  <c r="H251" i="1"/>
  <c r="H243" i="1"/>
  <c r="H242" i="1"/>
  <c r="H241" i="1"/>
  <c r="H239" i="1"/>
  <c r="H237" i="1"/>
  <c r="H235" i="1"/>
  <c r="H225" i="1"/>
  <c r="H222" i="1"/>
  <c r="H220" i="1"/>
  <c r="H219" i="1"/>
  <c r="H218" i="1"/>
  <c r="H212" i="1"/>
  <c r="H198" i="1"/>
  <c r="H194" i="1"/>
  <c r="H188" i="1"/>
  <c r="H187" i="1"/>
  <c r="H175" i="1"/>
  <c r="H169" i="1"/>
  <c r="H163" i="1"/>
  <c r="H162" i="1"/>
  <c r="H161" i="1"/>
  <c r="H160" i="1"/>
  <c r="H159" i="1"/>
  <c r="H139" i="1"/>
  <c r="H137" i="1"/>
  <c r="H134" i="1"/>
  <c r="H125" i="1"/>
  <c r="H123" i="1"/>
  <c r="H119" i="1"/>
  <c r="H115" i="1"/>
  <c r="H111" i="1"/>
  <c r="H105" i="1"/>
  <c r="H104" i="1"/>
  <c r="H98" i="1"/>
  <c r="H96" i="1"/>
  <c r="H95" i="1"/>
  <c r="H94" i="1"/>
  <c r="H93" i="1"/>
  <c r="H92" i="1"/>
  <c r="H91" i="1"/>
  <c r="H90" i="1"/>
  <c r="H89" i="1"/>
  <c r="H88" i="1"/>
  <c r="H85" i="1"/>
  <c r="H79" i="1"/>
  <c r="H72" i="1"/>
  <c r="H70" i="1"/>
  <c r="H69" i="1"/>
  <c r="H68" i="1"/>
  <c r="H67" i="1"/>
  <c r="H63" i="1"/>
  <c r="H55" i="1"/>
  <c r="H54" i="1"/>
  <c r="H2" i="1" l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6" i="1"/>
  <c r="H57" i="1"/>
  <c r="H58" i="1"/>
  <c r="H59" i="1"/>
  <c r="H60" i="1"/>
  <c r="H61" i="1"/>
  <c r="H62" i="1"/>
  <c r="H64" i="1"/>
  <c r="H65" i="1"/>
  <c r="H66" i="1"/>
  <c r="H71" i="1"/>
  <c r="H73" i="1"/>
  <c r="H74" i="1"/>
  <c r="H75" i="1"/>
  <c r="H76" i="1"/>
  <c r="H77" i="1"/>
  <c r="H78" i="1"/>
  <c r="H80" i="1"/>
  <c r="H81" i="1"/>
  <c r="H82" i="1"/>
  <c r="H83" i="1"/>
  <c r="H84" i="1"/>
  <c r="H86" i="1"/>
  <c r="H87" i="1"/>
  <c r="H97" i="1"/>
  <c r="H99" i="1"/>
  <c r="H100" i="1"/>
  <c r="H101" i="1"/>
  <c r="H102" i="1"/>
  <c r="H103" i="1"/>
  <c r="H106" i="1"/>
  <c r="H107" i="1"/>
  <c r="H108" i="1"/>
  <c r="H109" i="1"/>
  <c r="H110" i="1"/>
  <c r="H112" i="1"/>
  <c r="H113" i="1"/>
  <c r="H114" i="1"/>
  <c r="H116" i="1"/>
  <c r="H117" i="1"/>
  <c r="H118" i="1"/>
  <c r="H120" i="1"/>
  <c r="H121" i="1"/>
  <c r="H122" i="1"/>
  <c r="H124" i="1"/>
  <c r="H126" i="1"/>
  <c r="H127" i="1"/>
  <c r="H128" i="1"/>
  <c r="H129" i="1"/>
  <c r="H130" i="1"/>
  <c r="H131" i="1"/>
  <c r="H132" i="1"/>
  <c r="H133" i="1"/>
  <c r="H135" i="1"/>
  <c r="H136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64" i="1"/>
  <c r="H165" i="1"/>
  <c r="H166" i="1"/>
  <c r="H167" i="1"/>
  <c r="H168" i="1"/>
  <c r="H170" i="1"/>
  <c r="H171" i="1"/>
  <c r="H172" i="1"/>
  <c r="H173" i="1"/>
  <c r="H174" i="1"/>
  <c r="H176" i="1"/>
  <c r="H177" i="1"/>
  <c r="H178" i="1"/>
  <c r="H179" i="1"/>
  <c r="H180" i="1"/>
  <c r="H181" i="1"/>
  <c r="H182" i="1"/>
  <c r="H183" i="1"/>
  <c r="H184" i="1"/>
  <c r="H185" i="1"/>
  <c r="H186" i="1"/>
  <c r="H189" i="1"/>
  <c r="H190" i="1"/>
  <c r="H191" i="1"/>
  <c r="H192" i="1"/>
  <c r="H193" i="1"/>
  <c r="H195" i="1"/>
  <c r="H196" i="1"/>
  <c r="H197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7" i="1"/>
  <c r="H221" i="1"/>
  <c r="H223" i="1"/>
  <c r="H224" i="1"/>
  <c r="H226" i="1"/>
  <c r="H227" i="1"/>
  <c r="H228" i="1"/>
  <c r="H229" i="1"/>
  <c r="H230" i="1"/>
  <c r="H231" i="1"/>
  <c r="H232" i="1"/>
  <c r="H233" i="1"/>
  <c r="H234" i="1"/>
  <c r="H236" i="1"/>
  <c r="H238" i="1"/>
  <c r="H240" i="1"/>
  <c r="H244" i="1"/>
  <c r="H245" i="1"/>
  <c r="H246" i="1"/>
  <c r="H247" i="1"/>
  <c r="H248" i="1"/>
  <c r="H249" i="1"/>
  <c r="H250" i="1"/>
  <c r="H252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70" i="1"/>
  <c r="H271" i="1"/>
  <c r="H273" i="1"/>
  <c r="H275" i="1"/>
  <c r="H276" i="1"/>
  <c r="H277" i="1"/>
  <c r="H279" i="1"/>
  <c r="H280" i="1"/>
  <c r="H281" i="1"/>
  <c r="H283" i="1"/>
  <c r="H284" i="1"/>
  <c r="H285" i="1"/>
  <c r="H286" i="1"/>
  <c r="H287" i="1"/>
  <c r="H288" i="1"/>
  <c r="H289" i="1"/>
  <c r="H290" i="1"/>
  <c r="H291" i="1"/>
  <c r="H292" i="1"/>
  <c r="H294" i="1"/>
  <c r="H296" i="1"/>
  <c r="H297" i="1"/>
  <c r="H298" i="1"/>
  <c r="H299" i="1"/>
  <c r="H300" i="1"/>
  <c r="H301" i="1"/>
  <c r="H303" i="1"/>
  <c r="H304" i="1"/>
  <c r="H306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4" i="1"/>
  <c r="H325" i="1"/>
  <c r="H326" i="1"/>
  <c r="H327" i="1"/>
  <c r="H328" i="1"/>
  <c r="H331" i="1"/>
  <c r="H332" i="1"/>
  <c r="H333" i="1"/>
  <c r="H334" i="1"/>
  <c r="H335" i="1"/>
  <c r="H336" i="1"/>
  <c r="H337" i="1"/>
  <c r="H338" i="1"/>
  <c r="H339" i="1"/>
  <c r="H341" i="1"/>
  <c r="H342" i="1"/>
  <c r="H344" i="1"/>
  <c r="H345" i="1"/>
  <c r="H346" i="1"/>
  <c r="H347" i="1"/>
  <c r="H349" i="1"/>
  <c r="H350" i="1"/>
  <c r="H351" i="1"/>
  <c r="H352" i="1"/>
  <c r="H354" i="1"/>
  <c r="H356" i="1"/>
  <c r="H357" i="1"/>
  <c r="H359" i="1"/>
  <c r="H360" i="1"/>
  <c r="H361" i="1"/>
  <c r="H362" i="1"/>
  <c r="H364" i="1"/>
  <c r="H368" i="1"/>
  <c r="H369" i="1"/>
  <c r="H372" i="1"/>
  <c r="H373" i="1"/>
  <c r="H375" i="1"/>
  <c r="H376" i="1"/>
  <c r="H378" i="1"/>
  <c r="H382" i="1"/>
  <c r="H383" i="1"/>
  <c r="H385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2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tc={57C72A64-D56B-4BA2-9128-36F0D4C3E879}</author>
    <author>tc={3BDA19E4-F11C-41E9-80B8-8F86EBC18AEE}</author>
  </authors>
  <commentList>
    <comment ref="B50" authorId="0" shapeId="0" xr:uid="{57C72A64-D56B-4BA2-9128-36F0D4C3E8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08/07 - Giselle fez acionamento verificação e reparo do equipamento. Nesse mesmo dia foi aberto RMA na Fortinet: Bilhete #10889354 .</t>
      </text>
    </comment>
    <comment ref="C288" authorId="1" shapeId="0" xr:uid="{3BDA19E4-F11C-41E9-80B8-8F86EBC18A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09.05 - Rollback realizado a pedido do cliente.</t>
      </text>
    </comment>
  </commentList>
</comments>
</file>

<file path=xl/sharedStrings.xml><?xml version="1.0" encoding="utf-8"?>
<sst xmlns="http://schemas.openxmlformats.org/spreadsheetml/2006/main" count="1288" uniqueCount="893">
  <si>
    <t>SITE-ID</t>
  </si>
  <si>
    <t>LOCALIDADE</t>
  </si>
  <si>
    <t>1º  Visita</t>
  </si>
  <si>
    <t>Obs</t>
  </si>
  <si>
    <t>2º Visita</t>
  </si>
  <si>
    <t>Obs2</t>
  </si>
  <si>
    <t>3º Visita</t>
  </si>
  <si>
    <t>Obs3</t>
  </si>
  <si>
    <t>4º Visita</t>
  </si>
  <si>
    <t>Obs4</t>
  </si>
  <si>
    <t>ACCZU0TC003</t>
  </si>
  <si>
    <t>ARTE Cruzeiro do Sul</t>
  </si>
  <si>
    <t>ACRBO0TC018</t>
  </si>
  <si>
    <t>SRTE Rio Branco</t>
  </si>
  <si>
    <t>Pendencia MVC</t>
  </si>
  <si>
    <t>Finalizado</t>
  </si>
  <si>
    <t>ALAIR0TC007</t>
  </si>
  <si>
    <t>ARTE Arapiraca</t>
  </si>
  <si>
    <t>ALDGA0TC002</t>
  </si>
  <si>
    <t>ARTE Delmiro Gouveia</t>
  </si>
  <si>
    <t>ALMCO0TC018</t>
  </si>
  <si>
    <t>SRTE Maceió</t>
  </si>
  <si>
    <t>ALPIN0TC005</t>
  </si>
  <si>
    <t>ARTE Palmeira dos Índios</t>
  </si>
  <si>
    <t>Tecnico chegou a localidade agora" 10:26
Pessoal da unidade fechou a localidade
Vamos precisar reagendar 
link down  - TELEBRAS</t>
  </si>
  <si>
    <t>ALUPS0TC003</t>
  </si>
  <si>
    <t>ARTE União dos Palmares</t>
  </si>
  <si>
    <t>AMHUT0TC003</t>
  </si>
  <si>
    <t>ARTE Humaitá</t>
  </si>
  <si>
    <t>AMIOT0TC002</t>
  </si>
  <si>
    <t>ARTE ltacoatiara</t>
  </si>
  <si>
    <t>Pendencia TERMO</t>
  </si>
  <si>
    <t>AMMNS0TC049</t>
  </si>
  <si>
    <t>SRTE Manaus</t>
  </si>
  <si>
    <t xml:space="preserve"> Precisa avaliar o que está em ocorrendo na unidade. Unidade já encerrrou.
Não tem rota - TELEBRAS</t>
  </si>
  <si>
    <t>AMMPU0TC001</t>
  </si>
  <si>
    <t>ARTE Manacapuru</t>
  </si>
  <si>
    <t>AMPAR0TC002</t>
  </si>
  <si>
    <t>ARTE Parintins</t>
  </si>
  <si>
    <t>AMPFG0TC005</t>
  </si>
  <si>
    <t>ARTE Presidente Figueiredo</t>
  </si>
  <si>
    <t>AMTBN0TC001</t>
  </si>
  <si>
    <t>ARTE Tabatinga</t>
  </si>
  <si>
    <t>APMPA0TC012</t>
  </si>
  <si>
    <t>SRTE Macapá</t>
  </si>
  <si>
    <t>BAALH0TC003</t>
  </si>
  <si>
    <t>ARTE Alagoinhas</t>
  </si>
  <si>
    <t>BABES0TC004</t>
  </si>
  <si>
    <t>GRTE Barreiras</t>
  </si>
  <si>
    <t>BABMP0TC004</t>
  </si>
  <si>
    <t>ARTE Bom Jesus da Lapa</t>
  </si>
  <si>
    <t>BABRM0TC002</t>
  </si>
  <si>
    <t>ARTE Brumado</t>
  </si>
  <si>
    <t>BACAR0TC007</t>
  </si>
  <si>
    <t>GRTE Camaçari</t>
  </si>
  <si>
    <t>BAEUS0TC007</t>
  </si>
  <si>
    <t>GRTE Eunápolis</t>
  </si>
  <si>
    <t>BAFSA0TC009</t>
  </si>
  <si>
    <t>GRTE Feira de Santana</t>
  </si>
  <si>
    <t>Boa tarde, O técnico da operadora não chegou no local. A localidade encerrou as atividades e o técnico teve que se retirar. Não conseguimos finalizar as fotos e ficou faltando o link 1. O técnico pode voltar amanhã pra finalizar as fotos?</t>
  </si>
  <si>
    <t>BAGNB0TC002</t>
  </si>
  <si>
    <t>ARTE Guanambi</t>
  </si>
  <si>
    <t>BAIEE0TC002</t>
  </si>
  <si>
    <t>ARTE Irecê</t>
  </si>
  <si>
    <t>BAILH0TC006</t>
  </si>
  <si>
    <t>GRTE Ilhéus</t>
  </si>
  <si>
    <t>A localidade estava sem energia - TELEBRAS</t>
  </si>
  <si>
    <t>Finalizada</t>
  </si>
  <si>
    <t>BAITB0TC004</t>
  </si>
  <si>
    <t>ARTE ltabuna</t>
  </si>
  <si>
    <t>está localidade não poderá acontecer hoje pois o responsavel do local está de licença e só voltara dia 10. - TELEBRAS</t>
  </si>
  <si>
    <t>cliente fecha as 15:00. Problema de link e equipamento da operadora par remanejar</t>
  </si>
  <si>
    <t>BAJEE0TC003</t>
  </si>
  <si>
    <t>ARTE Jequié</t>
  </si>
  <si>
    <t>Responsável informou que a agência vai fechar permanentemente dia 30, e que não sabia dessa instalação devido a isso, mas autorizou. - TELEBRAS</t>
  </si>
  <si>
    <t>BAJUO0TC005</t>
  </si>
  <si>
    <t>GRTE Juazeiro</t>
  </si>
  <si>
    <t>BAPAF0TC004</t>
  </si>
  <si>
    <t>ARTE Paulo Afonso</t>
  </si>
  <si>
    <t>BASBM0TC002</t>
  </si>
  <si>
    <t>ARTE Senhor do Bomfim - CAC</t>
  </si>
  <si>
    <t>BASDR0TC034</t>
  </si>
  <si>
    <t>SRTE Salvador</t>
  </si>
  <si>
    <t>BASDR0TC035</t>
  </si>
  <si>
    <t>ARTE Salvador - Carlos Gomes</t>
  </si>
  <si>
    <t>BASDR0TC048</t>
  </si>
  <si>
    <t>ARTE Salvador - Miguel Calmon</t>
  </si>
  <si>
    <t>BASNA0TC002</t>
  </si>
  <si>
    <t>ARTE Santo Amaro</t>
  </si>
  <si>
    <t>BASNJ0TC005</t>
  </si>
  <si>
    <t>ARTE Santo Antônio de Jesus</t>
  </si>
  <si>
    <t>BATAF0TC003</t>
  </si>
  <si>
    <t>ARTE Teixeira Freitas</t>
  </si>
  <si>
    <t>BAVCA0TC004</t>
  </si>
  <si>
    <t>GRTE Vitória da Conquista</t>
  </si>
  <si>
    <t>CEACA0TC004</t>
  </si>
  <si>
    <t>ARTE Aracati - Shopping Bom Vizinho</t>
  </si>
  <si>
    <t>CECCM0TC002</t>
  </si>
  <si>
    <t>ARTE Camocim</t>
  </si>
  <si>
    <t>CECIE0TC002</t>
  </si>
  <si>
    <t>ARTE Canindé</t>
  </si>
  <si>
    <t>CECTO0TC007</t>
  </si>
  <si>
    <t>ARTE Crato</t>
  </si>
  <si>
    <t>CECUC0TC003</t>
  </si>
  <si>
    <t>ARTE Caucaia</t>
  </si>
  <si>
    <t>CEFLA0TC034</t>
  </si>
  <si>
    <t>SRTE Fortaleza</t>
  </si>
  <si>
    <t>CEFLA0TC036</t>
  </si>
  <si>
    <t>ARTE Fortaleza I - Shopping RioMar Kennedy</t>
  </si>
  <si>
    <t>CEFLA0TC037</t>
  </si>
  <si>
    <t xml:space="preserve">ARTE Fortaleza - Porto do Mucuripe </t>
  </si>
  <si>
    <t>CEFLA0TC038</t>
  </si>
  <si>
    <t>ARTE Fortaleza II - Shopping RioMar Papicu</t>
  </si>
  <si>
    <t>CEIAU0TC003</t>
  </si>
  <si>
    <t>ARTE lguatu</t>
  </si>
  <si>
    <t>CEIOP0TC003</t>
  </si>
  <si>
    <t>ARTE ltapipoca</t>
  </si>
  <si>
    <t>CEJNE0TC006</t>
  </si>
  <si>
    <t>ARTE Juazeiro do Norte</t>
  </si>
  <si>
    <t>CELNT0TC004</t>
  </si>
  <si>
    <t>ARTE Limoeiro do Norte</t>
  </si>
  <si>
    <t>CEMCW0TC005</t>
  </si>
  <si>
    <t>ARTE Maracanaú</t>
  </si>
  <si>
    <t>CEMUE0TC003</t>
  </si>
  <si>
    <t>ARTE Maranguape - Shopping Mall</t>
  </si>
  <si>
    <t>CESOL0TC011</t>
  </si>
  <si>
    <t>GRTE Sobral</t>
  </si>
  <si>
    <t>Houve uma falha de comunicação, e o técnico acabou indo realizar o atendimento sem o equipamento em mãos. E acabamos de saber que o equipamento está na Sefaz, e será entregue dia 28/05. Sendo assim, solicito reagendamento da atividade para 03/06.</t>
  </si>
  <si>
    <t>O técnico não encontrou o material na cidade. Sendo assim, vamos precisar reagendar a atividade para 05/06, por favor!</t>
  </si>
  <si>
    <t>CEVZG0TC002</t>
  </si>
  <si>
    <t>ARTE Várzea Alegre</t>
  </si>
  <si>
    <t>DFBSA0TC076</t>
  </si>
  <si>
    <t>SEDE - ARTE Laboratório testes</t>
  </si>
  <si>
    <t>SEDE-CONCENTRADOR Brasília</t>
  </si>
  <si>
    <t>DFBSA0TC200</t>
  </si>
  <si>
    <t>SRTE Brasília - DF</t>
  </si>
  <si>
    <t>DFBSA0TC205</t>
  </si>
  <si>
    <t xml:space="preserve">ARTE Brasília - SIA </t>
  </si>
  <si>
    <t>ESACZ0TC003</t>
  </si>
  <si>
    <t>ARTE Aracruz</t>
  </si>
  <si>
    <t>ESALR0TC002</t>
  </si>
  <si>
    <t>ARTE Alegre</t>
  </si>
  <si>
    <t>ESCIM0TC006</t>
  </si>
  <si>
    <t>GRTE Cachoeiro de ltapemirim</t>
  </si>
  <si>
    <t>ESCNA0TC002</t>
  </si>
  <si>
    <t>GRTE Colatina</t>
  </si>
  <si>
    <t>ESGRI0TC003</t>
  </si>
  <si>
    <t>ARTE Guarapari</t>
  </si>
  <si>
    <t>ESLNS0TC005</t>
  </si>
  <si>
    <t>ARTE Linhares</t>
  </si>
  <si>
    <t>ESMRZSTC002</t>
  </si>
  <si>
    <t>ARTE Marataízes</t>
  </si>
  <si>
    <t>ESNVI0TC001</t>
  </si>
  <si>
    <t>ARTE Nova Venécia</t>
  </si>
  <si>
    <t>ESSMT0TC006</t>
  </si>
  <si>
    <t>ARTE São Mateus</t>
  </si>
  <si>
    <t>ESVTA0TC021</t>
  </si>
  <si>
    <t>SRTE Vitória</t>
  </si>
  <si>
    <t>ARTE Vitória - Pientrângelo</t>
  </si>
  <si>
    <t>Link instalado no andar errado - TELEBRAS</t>
  </si>
  <si>
    <t>ESVTA0TC028</t>
  </si>
  <si>
    <t>ARTE Vitória - Almoxarifado</t>
  </si>
  <si>
    <t>ESVVA0TC005</t>
  </si>
  <si>
    <t>ARTE Vila Velha</t>
  </si>
  <si>
    <t>GOANS0TC013</t>
  </si>
  <si>
    <t>GRTE Anápolis</t>
  </si>
  <si>
    <t>GOCEE0TC002</t>
  </si>
  <si>
    <t>ARTE Rialma</t>
  </si>
  <si>
    <t>Finalizado 1 Link</t>
  </si>
  <si>
    <t>GOCLV0TC004</t>
  </si>
  <si>
    <t>ARTE Caldas Novas</t>
  </si>
  <si>
    <t>GOCTL0TC002</t>
  </si>
  <si>
    <t>ARTE Catalão</t>
  </si>
  <si>
    <t>GOGNA0TC043</t>
  </si>
  <si>
    <t>SRTE Goiânia</t>
  </si>
  <si>
    <t>GOGOA0TC002</t>
  </si>
  <si>
    <t>ARTE Goiás</t>
  </si>
  <si>
    <t>GOIUB0TC010</t>
  </si>
  <si>
    <t>ARTE Itumbiara</t>
  </si>
  <si>
    <t>GOJTI0TC005</t>
  </si>
  <si>
    <t>ARTE Jataí</t>
  </si>
  <si>
    <t>GOLZA0TC004</t>
  </si>
  <si>
    <t>ARTE Luziânia</t>
  </si>
  <si>
    <t>GOMIH0TC005</t>
  </si>
  <si>
    <t>ARTE Morrinhos</t>
  </si>
  <si>
    <t>GOPIR0TC003</t>
  </si>
  <si>
    <t>ARTE Pires do Rio</t>
  </si>
  <si>
    <t>GORVD0TC010</t>
  </si>
  <si>
    <t>ARTE Rio Verde</t>
  </si>
  <si>
    <t>GOSGG0TC004</t>
  </si>
  <si>
    <t>ARTE São Miguel do Araguaia</t>
  </si>
  <si>
    <t>GOURC0TC002</t>
  </si>
  <si>
    <t>ARTE Uruçu</t>
  </si>
  <si>
    <t>MAACD0TC004</t>
  </si>
  <si>
    <t>ARTE Açailândia</t>
  </si>
  <si>
    <t>Correção fotos</t>
  </si>
  <si>
    <t>MABBL0TC005</t>
  </si>
  <si>
    <t>ARTE Bacabal</t>
  </si>
  <si>
    <t>não migramos lan pois esta com 1 link e caindo. - TELEBRAS</t>
  </si>
  <si>
    <t>MACDO0TC003</t>
  </si>
  <si>
    <t>ARTE Codó</t>
  </si>
  <si>
    <t>MACHI0TC002</t>
  </si>
  <si>
    <t>ARTE Chapadinha - SINE</t>
  </si>
  <si>
    <t>Sem link funcionando</t>
  </si>
  <si>
    <t>Localidade finalizada 1 Link</t>
  </si>
  <si>
    <t>MACXS0TC002</t>
  </si>
  <si>
    <t>ARTE Caxias</t>
  </si>
  <si>
    <t>MAITZ0TC026</t>
  </si>
  <si>
    <t>GRTE Imperatriz</t>
  </si>
  <si>
    <t>MAPDU0TC005</t>
  </si>
  <si>
    <t>ARTE Presidente Dutra</t>
  </si>
  <si>
    <t>MASIS0TC003</t>
  </si>
  <si>
    <t>ARTE Santa Inês</t>
  </si>
  <si>
    <t>MASLS0TC028</t>
  </si>
  <si>
    <t>SRTE São Luís</t>
  </si>
  <si>
    <t>MGAFN0TC002</t>
  </si>
  <si>
    <t>ARTE Alfenas</t>
  </si>
  <si>
    <t>MGARI0TC003</t>
  </si>
  <si>
    <t>ARTE Araguari</t>
  </si>
  <si>
    <t>MGAUI0TC002</t>
  </si>
  <si>
    <t>ARTE Araçuaí</t>
  </si>
  <si>
    <t>MGAXA0TC002</t>
  </si>
  <si>
    <t>ARTE Araxá</t>
  </si>
  <si>
    <t>MGBCA0TC003</t>
  </si>
  <si>
    <t>ARTE Barbacena</t>
  </si>
  <si>
    <t>MGBCV0TC001</t>
  </si>
  <si>
    <t>ARTE Bocaiúva</t>
  </si>
  <si>
    <t>MGBET0TC006</t>
  </si>
  <si>
    <t>GRTE Betim</t>
  </si>
  <si>
    <t>MGBHE0TC057</t>
  </si>
  <si>
    <t>ARTE Belo Horizonte</t>
  </si>
  <si>
    <t>Rack em um andar e equipamento de link em outro - TELEBRAS</t>
  </si>
  <si>
    <t>Manteve o problema da primeira visita, mas dessa vez migrou pois haviam instalado um link no andar certo</t>
  </si>
  <si>
    <t>MGBHE0TC058</t>
  </si>
  <si>
    <t>SRTE Belo Horizonte</t>
  </si>
  <si>
    <t>MGBOE0TC002</t>
  </si>
  <si>
    <t>ARTE Boa Esperança</t>
  </si>
  <si>
    <t>Unidade com pendência de infra. - TELEBRAS</t>
  </si>
  <si>
    <t>MGCAX0TC002</t>
  </si>
  <si>
    <t>ARTE Caxambu</t>
  </si>
  <si>
    <t>MGCEM0TC006</t>
  </si>
  <si>
    <t>GRTE Contagem</t>
  </si>
  <si>
    <t>MGCNL0TC003</t>
  </si>
  <si>
    <t>GRTE Conselheiro Lafaiete</t>
  </si>
  <si>
    <t>MGCUV0TC002</t>
  </si>
  <si>
    <t>ARTE Curvelo</t>
  </si>
  <si>
    <t>MGDVL0TC007</t>
  </si>
  <si>
    <t>GRTE Divinópolis</t>
  </si>
  <si>
    <t>MGFMA0TC002</t>
  </si>
  <si>
    <t>ARTE Formiga</t>
  </si>
  <si>
    <t>MGGVS0TC004</t>
  </si>
  <si>
    <t>GRTE Governador Valadares</t>
  </si>
  <si>
    <t>MGIAN0TC001</t>
  </si>
  <si>
    <t>ARTE Itaúna</t>
  </si>
  <si>
    <t>MGIBA0TC002</t>
  </si>
  <si>
    <t>ARTE Itabira</t>
  </si>
  <si>
    <t>MGIIG0TC002</t>
  </si>
  <si>
    <t>GRTE Ipatinga</t>
  </si>
  <si>
    <t>MGIJA0TC003</t>
  </si>
  <si>
    <t>ARTE Itajubá</t>
  </si>
  <si>
    <t>MGIUA0TC002</t>
  </si>
  <si>
    <t>ARTE Ituiutaba</t>
  </si>
  <si>
    <t>MGJFA0TC016</t>
  </si>
  <si>
    <t>GRTE Juiz de Fora</t>
  </si>
  <si>
    <t>MGJML0TC002</t>
  </si>
  <si>
    <t>ARTE João Monlevade</t>
  </si>
  <si>
    <t>MGLAV0TC003</t>
  </si>
  <si>
    <t>ARTE Lavras</t>
  </si>
  <si>
    <t>MGMCL0TC004</t>
  </si>
  <si>
    <t>GRTE Montes Claros</t>
  </si>
  <si>
    <t>MGMNC0TC002</t>
  </si>
  <si>
    <t>ARTE Manhuaçu</t>
  </si>
  <si>
    <t>MGMNV0TC002</t>
  </si>
  <si>
    <t>ARTE Minas Novas</t>
  </si>
  <si>
    <t>MGNLA0TC005</t>
  </si>
  <si>
    <t>ARTE Nova Lima</t>
  </si>
  <si>
    <t>vamos ter que reagendar, pois o novo link foi instalado na nova localidade.</t>
  </si>
  <si>
    <t>Os 02 links ainda não foram remanejados, Haviamos pedido para cancelar essa agenda</t>
  </si>
  <si>
    <t>MGOLV0TC002</t>
  </si>
  <si>
    <t>ARTE Oliveira</t>
  </si>
  <si>
    <t>MGORP0TC004</t>
  </si>
  <si>
    <t>ARTE Ouro Preto</t>
  </si>
  <si>
    <t>MGPCS0TC013</t>
  </si>
  <si>
    <t>GRTE Poços de Caldas</t>
  </si>
  <si>
    <t>MGPDS0TC001</t>
  </si>
  <si>
    <t>ARTE Perdões</t>
  </si>
  <si>
    <t>MGPLO0TC002</t>
  </si>
  <si>
    <t>ARTE Pedro Leopoldo</t>
  </si>
  <si>
    <t>MGPMS0TC002</t>
  </si>
  <si>
    <t>ARTE Patos de Minas</t>
  </si>
  <si>
    <t>MGPNV0TC002</t>
  </si>
  <si>
    <t>GRTE Ponte Nova</t>
  </si>
  <si>
    <t>MGPRR0TC002</t>
  </si>
  <si>
    <t>ARTE Pirapora</t>
  </si>
  <si>
    <t>MGPSA0TC004</t>
  </si>
  <si>
    <t>GRTE Pouso Alegre</t>
  </si>
  <si>
    <t>localidade informou que so vai abrir as 13:00. Então começaremos essas hora. - TELEBRAS</t>
  </si>
  <si>
    <t>MGPSO0TC004</t>
  </si>
  <si>
    <t>ARTE Passos</t>
  </si>
  <si>
    <t>MGPTU0TC002</t>
  </si>
  <si>
    <t>GRTE Paracatu</t>
  </si>
  <si>
    <t>MGRPB0TC001</t>
  </si>
  <si>
    <t>ARTE Rio Pomba</t>
  </si>
  <si>
    <t>Deu problema na entrega dos Correios - TELEBRAS</t>
  </si>
  <si>
    <t>MGSAL0TC002</t>
  </si>
  <si>
    <t>ARTE São Lourenço</t>
  </si>
  <si>
    <t>MGSLA0TC003</t>
  </si>
  <si>
    <t>ARTE Sete Lagoas</t>
  </si>
  <si>
    <t>MGSLU0TC003</t>
  </si>
  <si>
    <t>ARTE Santa Luzia</t>
  </si>
  <si>
    <t>Verificamos aqui que teve uma confusão com o Correios mesmo... Vamos ter que cancelar essa agenda de hoje e reagendar.  TELEBRAS</t>
  </si>
  <si>
    <t>MGSND0TC002</t>
  </si>
  <si>
    <t>ARTE Santos Dumont</t>
  </si>
  <si>
    <t>MGSOE0TC003</t>
  </si>
  <si>
    <t>ARTE São João Del Rei</t>
  </si>
  <si>
    <t>MGSRS0TC002</t>
  </si>
  <si>
    <t>ARTE Santa Rita do Sapucaí</t>
  </si>
  <si>
    <t>MGTCS0TC002</t>
  </si>
  <si>
    <t>ARTE Três Corações</t>
  </si>
  <si>
    <t>MGTOT0TC003</t>
  </si>
  <si>
    <t>ARTE Teófilo Otoni</t>
  </si>
  <si>
    <t>MGTSP0TC002</t>
  </si>
  <si>
    <t>ARTE Três Pontas</t>
  </si>
  <si>
    <t>MGUBA0TC002</t>
  </si>
  <si>
    <t>ARTE Ubá</t>
  </si>
  <si>
    <t>MGULA0TC007</t>
  </si>
  <si>
    <t>GRTE Uberlândia</t>
  </si>
  <si>
    <t>MGUNI0TC002</t>
  </si>
  <si>
    <t>ARTE Unaí</t>
  </si>
  <si>
    <t>MGURA0TC004</t>
  </si>
  <si>
    <t>GRTE Uberaba</t>
  </si>
  <si>
    <t>MGVCS0TC002</t>
  </si>
  <si>
    <t>ARTE Viçosa</t>
  </si>
  <si>
    <t>MGVGA0TC002</t>
  </si>
  <si>
    <t>GRTE Varginha</t>
  </si>
  <si>
    <t>MSCMA0TC003</t>
  </si>
  <si>
    <t>ARTE Corumbá</t>
  </si>
  <si>
    <t>MSCPE0TC020</t>
  </si>
  <si>
    <t>SRTE Campo Grande</t>
  </si>
  <si>
    <t>MSDOS0TC005</t>
  </si>
  <si>
    <t>GRTE Dourados</t>
  </si>
  <si>
    <t>MSNDI0TC002</t>
  </si>
  <si>
    <t>ARTE Nova Andradina</t>
  </si>
  <si>
    <t>MSNVR0TC002</t>
  </si>
  <si>
    <t>ARTE Naviraí</t>
  </si>
  <si>
    <t>MSPPR0TC002</t>
  </si>
  <si>
    <t>ARTE Ponta Porã</t>
  </si>
  <si>
    <t>MTBAG0TC004</t>
  </si>
  <si>
    <t>ARTE Barra do Garças</t>
  </si>
  <si>
    <t>Pendencia MA, técnico não tinha internet no celular</t>
  </si>
  <si>
    <t>MTCBA0TC026</t>
  </si>
  <si>
    <t>SRTE Cuiabá</t>
  </si>
  <si>
    <t>MTCCS0TC004</t>
  </si>
  <si>
    <t>ARTE Cáceres</t>
  </si>
  <si>
    <t>Não vamos conseguir a localidade hoje. O técnico teve um imprevisto no deslocamento e não vai conseguir chegar a tempo.
Em seguida envio a nova data. TELEBRAS</t>
  </si>
  <si>
    <t>MTCZV0TC003</t>
  </si>
  <si>
    <t>ARTE Campo Verde</t>
  </si>
  <si>
    <t>Revisita Link - Pendencia MVC</t>
  </si>
  <si>
    <t>MTROI0TC009</t>
  </si>
  <si>
    <t>GRTE Rondonópolis</t>
  </si>
  <si>
    <t>Pendencia MVC - técnico chegou as 10:54</t>
  </si>
  <si>
    <t>MTSNO0TC007</t>
  </si>
  <si>
    <t>ARTE Sinop</t>
  </si>
  <si>
    <t>PAATM0TC007</t>
  </si>
  <si>
    <t>ARTE Altamira</t>
  </si>
  <si>
    <t>PABLM0TC040</t>
  </si>
  <si>
    <t>SRTE Belém</t>
  </si>
  <si>
    <t>PACAH0TC003</t>
  </si>
  <si>
    <t>ARTE Castanhal</t>
  </si>
  <si>
    <t>PACPN0TC004</t>
  </si>
  <si>
    <t>ARTE Capanema</t>
  </si>
  <si>
    <t>PAIAB0TC004</t>
  </si>
  <si>
    <t>ARTE ltaituba</t>
  </si>
  <si>
    <t>MVC Pendencia - fotos</t>
  </si>
  <si>
    <t>PAMBA0TC012</t>
  </si>
  <si>
    <t>GRTE Marabá</t>
  </si>
  <si>
    <t>PASRM0TC009</t>
  </si>
  <si>
    <t>GRTE Santarém</t>
  </si>
  <si>
    <t>PBCGE0TC008</t>
  </si>
  <si>
    <t>GRTE Campina Grande</t>
  </si>
  <si>
    <t>PBCZS0TC002</t>
  </si>
  <si>
    <t>ARTE Cajazeiras</t>
  </si>
  <si>
    <t>PBJPA0TC021</t>
  </si>
  <si>
    <t>SRTE João Pessoa</t>
  </si>
  <si>
    <t>PBPOS0TC002</t>
  </si>
  <si>
    <t>ARTE Patos</t>
  </si>
  <si>
    <t>PBSZA0TC003</t>
  </si>
  <si>
    <t>ARTE Sousa</t>
  </si>
  <si>
    <t>PEACV0TC002</t>
  </si>
  <si>
    <t>ARTE Arcoverde</t>
  </si>
  <si>
    <t>PEAFI0TC002</t>
  </si>
  <si>
    <t>ARTE Afogados da Ingazeira</t>
  </si>
  <si>
    <t>PEARR0TC002</t>
  </si>
  <si>
    <t>ARTE Araripina</t>
  </si>
  <si>
    <t>PEBAR0TC002</t>
  </si>
  <si>
    <t>ARTE Barreiros</t>
  </si>
  <si>
    <t>PEBCE0TC003</t>
  </si>
  <si>
    <t>ARTE Bom Conselho</t>
  </si>
  <si>
    <t>PECRU0TC004</t>
  </si>
  <si>
    <t>GRTE Caruaru</t>
  </si>
  <si>
    <t>PEFRT0TC001</t>
  </si>
  <si>
    <t>ARTE Floresta</t>
  </si>
  <si>
    <t>PEGOI0TC002</t>
  </si>
  <si>
    <t>ARTE Goiana</t>
  </si>
  <si>
    <t>PEGUS0TC005</t>
  </si>
  <si>
    <t>GRTE Garanhuns</t>
  </si>
  <si>
    <t>PEGVT0TC003</t>
  </si>
  <si>
    <t>ARTE Gravatá</t>
  </si>
  <si>
    <t>PEIPJ0TC004</t>
  </si>
  <si>
    <t>ARTE lpojuca</t>
  </si>
  <si>
    <t>PEJBO0TC003</t>
  </si>
  <si>
    <t>ARTE Jaboatão dos Guararapes</t>
  </si>
  <si>
    <t>PENZM0TC003</t>
  </si>
  <si>
    <t>ARTE Nazaré da Mata</t>
  </si>
  <si>
    <t>PEPLS0TC004</t>
  </si>
  <si>
    <t>ARTE Palmares</t>
  </si>
  <si>
    <t>PEPTA0TC007</t>
  </si>
  <si>
    <t>GRTE Petrolina</t>
  </si>
  <si>
    <t>PEPTR0TC002</t>
  </si>
  <si>
    <t>ARTE Petrolândia</t>
  </si>
  <si>
    <t>PERCE0TC068</t>
  </si>
  <si>
    <t>SRTE Recife</t>
  </si>
  <si>
    <t>PESGI0TC004</t>
  </si>
  <si>
    <t>ARTE Salgueiro</t>
  </si>
  <si>
    <t>PESHD0TC002</t>
  </si>
  <si>
    <t>ARTE Serra Talhada</t>
  </si>
  <si>
    <t>PESIB0TC012</t>
  </si>
  <si>
    <t>ARTE Santa Maria da Boa Vista</t>
  </si>
  <si>
    <t>PESJG0TC002</t>
  </si>
  <si>
    <t>ARTE São José do Egito</t>
  </si>
  <si>
    <t>PESUU0TC002</t>
  </si>
  <si>
    <t>ARTE Surubim</t>
  </si>
  <si>
    <t>PETIU0TC002</t>
  </si>
  <si>
    <t>ARTE Timbaúba</t>
  </si>
  <si>
    <t>PEVSA0TC004</t>
  </si>
  <si>
    <t>ARTE Vitória de Santo Antão</t>
  </si>
  <si>
    <t>PICNT0TC004</t>
  </si>
  <si>
    <t>ARTE Corrente</t>
  </si>
  <si>
    <t>PICRA0TC004</t>
  </si>
  <si>
    <t>ARTE Campo Maior</t>
  </si>
  <si>
    <t>PIPCZ0TC004</t>
  </si>
  <si>
    <t>ARTE Picos</t>
  </si>
  <si>
    <t>PIPNA0TC008</t>
  </si>
  <si>
    <t>GRTE Parnaíba</t>
  </si>
  <si>
    <t>PITSA0TC023</t>
  </si>
  <si>
    <t>SRTE Teresina</t>
  </si>
  <si>
    <t>PRAPU0TC004</t>
  </si>
  <si>
    <t>ARTE Apucarana</t>
  </si>
  <si>
    <t>PRAUC0TC003</t>
  </si>
  <si>
    <t>ARTE Araucária</t>
  </si>
  <si>
    <t>PRCNE0TC002</t>
  </si>
  <si>
    <t>ARTE Cianorte</t>
  </si>
  <si>
    <t>PRCPM0TC003</t>
  </si>
  <si>
    <t>ARTE Campo Mourão</t>
  </si>
  <si>
    <t>PRCPP0TC003</t>
  </si>
  <si>
    <t>ARTE Cornélio Procópio</t>
  </si>
  <si>
    <t>PRCSC0TC004</t>
  </si>
  <si>
    <t>GRTE Cascavel</t>
  </si>
  <si>
    <t>PRCTA0TC030</t>
  </si>
  <si>
    <t>SRTE Curitiba</t>
  </si>
  <si>
    <t>PRFNB0TC003</t>
  </si>
  <si>
    <t>ARTE Francisco Beltrão</t>
  </si>
  <si>
    <t>PRFOZ0TC009</t>
  </si>
  <si>
    <t>GRTE Foz do Iguaçu</t>
  </si>
  <si>
    <t>PRGRP0TC002</t>
  </si>
  <si>
    <t>ARTE Guarapuava</t>
  </si>
  <si>
    <t>PRLDA0TC011</t>
  </si>
  <si>
    <t>GRTE Londrina</t>
  </si>
  <si>
    <t>PRMGA0TC005</t>
  </si>
  <si>
    <t>GRTE Maringá</t>
  </si>
  <si>
    <t>PRPGO0TC005</t>
  </si>
  <si>
    <t>GRTE Ponta Grossa</t>
  </si>
  <si>
    <t>PRPNG0TC003</t>
  </si>
  <si>
    <t>ARTE Paranaguá</t>
  </si>
  <si>
    <t>PRPVA0TC002</t>
  </si>
  <si>
    <t>ARTE Paranavaí</t>
  </si>
  <si>
    <t>PRSJP0TC003</t>
  </si>
  <si>
    <t>ARTE São José dos Pinhais</t>
  </si>
  <si>
    <t>PRSNP0TC002</t>
  </si>
  <si>
    <t>ARTE Santo Antônio da Platina</t>
  </si>
  <si>
    <t>PRTOO0TC003</t>
  </si>
  <si>
    <t>ARTE Toledo</t>
  </si>
  <si>
    <t>RJARS0TC005</t>
  </si>
  <si>
    <t>ARTE Angra dos Reis</t>
  </si>
  <si>
    <t>RJBEROTC005</t>
  </si>
  <si>
    <t>ARTE Belford Roxo</t>
  </si>
  <si>
    <t>RJBJO0TC002</t>
  </si>
  <si>
    <t>ARTE Bom Jesus de Itabapoana</t>
  </si>
  <si>
    <t>RJBPI0TC003</t>
  </si>
  <si>
    <t>ARTE Barra do Piraí</t>
  </si>
  <si>
    <t>RJCBF0TC002</t>
  </si>
  <si>
    <t>GRTE Cabo Frio</t>
  </si>
  <si>
    <t>RJCPS0TC009</t>
  </si>
  <si>
    <t>GRTE Campos dos Goytacazes</t>
  </si>
  <si>
    <t>RJCTG0TC002</t>
  </si>
  <si>
    <t>ARTE Cantagalo</t>
  </si>
  <si>
    <t>RJDQX0TC007</t>
  </si>
  <si>
    <t>GRTE Duque de Caxias</t>
  </si>
  <si>
    <t>RJIGI0TC003</t>
  </si>
  <si>
    <t>GRTE Itaguaí</t>
  </si>
  <si>
    <t>RJIOY0TC002</t>
  </si>
  <si>
    <t>ARTE Itaboraí</t>
  </si>
  <si>
    <t>RJIRA0TC002</t>
  </si>
  <si>
    <t>GRTE Itaperuna</t>
  </si>
  <si>
    <t>RJMCE0TC004</t>
  </si>
  <si>
    <t>ARTE Macaé</t>
  </si>
  <si>
    <t>RJMESQTC003</t>
  </si>
  <si>
    <t>ARTE Mesquita</t>
  </si>
  <si>
    <t>RJMGE0TC007</t>
  </si>
  <si>
    <t>ARTE Magé</t>
  </si>
  <si>
    <t>RJMPE0TC002</t>
  </si>
  <si>
    <t>ARTE Miguel Pereira</t>
  </si>
  <si>
    <t>RJNIU0TC005</t>
  </si>
  <si>
    <t>GRTE Nova Iguaçu</t>
  </si>
  <si>
    <t>RJNOF0TC004</t>
  </si>
  <si>
    <t>GRTE Nova Friburgo</t>
  </si>
  <si>
    <t>RJNRI0TC009</t>
  </si>
  <si>
    <t>GRTE Niterói</t>
  </si>
  <si>
    <t>RJPAT0TC005</t>
  </si>
  <si>
    <t>ARTE Paraty</t>
  </si>
  <si>
    <t>RJPTS0TC006</t>
  </si>
  <si>
    <t>GRTE Petrópolis</t>
  </si>
  <si>
    <t>RJQUEATC003</t>
  </si>
  <si>
    <t>ARTE Queimados</t>
  </si>
  <si>
    <t>RJRBT0TC003</t>
  </si>
  <si>
    <t>ARTE Rio Bonito</t>
  </si>
  <si>
    <t>RJRIOSTC002</t>
  </si>
  <si>
    <t>ARTE Rio das Ostras</t>
  </si>
  <si>
    <t>RJRJO0TC130</t>
  </si>
  <si>
    <t>ARTE Rio de Janeiro - Campo Grande</t>
  </si>
  <si>
    <t>RJRJO0TC132</t>
  </si>
  <si>
    <t>ARTE Rio de Janeiro - Méier (Norte Shopping)</t>
  </si>
  <si>
    <t>RJRJO0TC133</t>
  </si>
  <si>
    <t>ARTE Rio de Janeiro - Madureira</t>
  </si>
  <si>
    <t>RJRJO0TC134</t>
  </si>
  <si>
    <t>ARTE Rio de Janeiro - Marechal Hermes</t>
  </si>
  <si>
    <t>RJRJO0TC135</t>
  </si>
  <si>
    <t>ARTE Rio de Janeiro - Ilha do Governador</t>
  </si>
  <si>
    <t>Link fora - TELEBRAS</t>
  </si>
  <si>
    <t>RJRJO0TC136</t>
  </si>
  <si>
    <t>ARTE Rio de Janeiro - Jacarepaguá</t>
  </si>
  <si>
    <t>RJRJO0TC137</t>
  </si>
  <si>
    <t>ARTE Rio de Janeiro - Tijuca</t>
  </si>
  <si>
    <t>RJRJO0TC144</t>
  </si>
  <si>
    <t>ARTE Rio de Janeiro - Porto</t>
  </si>
  <si>
    <t>RJRJO0TC153</t>
  </si>
  <si>
    <t>ARTE Bangu</t>
  </si>
  <si>
    <t>RJRJO0TC171</t>
  </si>
  <si>
    <t>SRTE Rio de Janeiro</t>
  </si>
  <si>
    <t>RJSFD0TC002</t>
  </si>
  <si>
    <t>ARTE São Fidélis</t>
  </si>
  <si>
    <t>RJSGO0TC005</t>
  </si>
  <si>
    <t>ARTE São Gonçalo</t>
  </si>
  <si>
    <t>RJSMI0TC003</t>
  </si>
  <si>
    <t>ARTE São João do Meriti</t>
  </si>
  <si>
    <t>Não tem switch - TELEBRAS</t>
  </si>
  <si>
    <t>RJSPA0TC002</t>
  </si>
  <si>
    <t>ARTE São Pedro da Aldeia</t>
  </si>
  <si>
    <t>RJSPC0TC002</t>
  </si>
  <si>
    <t>ARTE Sapucaia</t>
  </si>
  <si>
    <t>RJSQR0TC002</t>
  </si>
  <si>
    <t>ARTE Saquarema</t>
  </si>
  <si>
    <t>RJTRL0TC006</t>
  </si>
  <si>
    <t>ARTE Teresópolis</t>
  </si>
  <si>
    <t>RJTRS0TC004</t>
  </si>
  <si>
    <t>ARTE Três Rios</t>
  </si>
  <si>
    <t>RJVAS0TC003</t>
  </si>
  <si>
    <t>ARTE Vassouras</t>
  </si>
  <si>
    <t>RJVLC0TC001</t>
  </si>
  <si>
    <t>ARTE Valença</t>
  </si>
  <si>
    <t>RJVRD0TC005</t>
  </si>
  <si>
    <t>GRTE Volta Redonda</t>
  </si>
  <si>
    <t>RNCIC0TC002</t>
  </si>
  <si>
    <t>ARTE Caicó</t>
  </si>
  <si>
    <t>RNCSS0TC005</t>
  </si>
  <si>
    <t>ARTE Currais Novos</t>
  </si>
  <si>
    <t>RNMRO0TC009</t>
  </si>
  <si>
    <t>GRTE Mossoró</t>
  </si>
  <si>
    <t>RNNTL0TC026</t>
  </si>
  <si>
    <t>SRTE Natal</t>
  </si>
  <si>
    <t>ROAQS0TC005</t>
  </si>
  <si>
    <t>ARTE Ariquemes</t>
  </si>
  <si>
    <t>Técnico chegou as 15:00 e não deu tempo de finalizar as fotos</t>
  </si>
  <si>
    <t>ROGUM0TC006</t>
  </si>
  <si>
    <t>ARTE Guajará-Mirim</t>
  </si>
  <si>
    <t>ROJIP0TC007</t>
  </si>
  <si>
    <t>ARTE Ji-Paraná</t>
  </si>
  <si>
    <t>ROPVO0TC030</t>
  </si>
  <si>
    <t>SRTE Porto Velho Anexo - Abunã</t>
  </si>
  <si>
    <t>ROPVO0TC031</t>
  </si>
  <si>
    <t>SRTE Porto Velho</t>
  </si>
  <si>
    <t>ROVHA0TC004</t>
  </si>
  <si>
    <t>ARTE Vilhena</t>
  </si>
  <si>
    <t>RRBVA0TC016</t>
  </si>
  <si>
    <t>SRTE Boa Vista</t>
  </si>
  <si>
    <t xml:space="preserve">MVC pendencia </t>
  </si>
  <si>
    <t>RRCKR0TC004</t>
  </si>
  <si>
    <t>ARTE Caracaraí</t>
  </si>
  <si>
    <t>RRRLISTC002</t>
  </si>
  <si>
    <t>ARTE Rorainópolis</t>
  </si>
  <si>
    <t>RRSZW0TC001</t>
  </si>
  <si>
    <t>ARTE São Luiz</t>
  </si>
  <si>
    <t>RSBGE0TC004</t>
  </si>
  <si>
    <t>GRTE Bagé</t>
  </si>
  <si>
    <t>MVC pendencia + 1 link telebras</t>
  </si>
  <si>
    <t>RSCIO0TC003</t>
  </si>
  <si>
    <t>ARTE Carazinho</t>
  </si>
  <si>
    <t>RSCSL0TC008</t>
  </si>
  <si>
    <t>GRTE Caxias do Sul</t>
  </si>
  <si>
    <t>RSGTI0TC008</t>
  </si>
  <si>
    <t>ARTE Gravataí</t>
  </si>
  <si>
    <t>RSLJO0TC002</t>
  </si>
  <si>
    <t>GRTE Lajeado</t>
  </si>
  <si>
    <t>RSNHO0TC005</t>
  </si>
  <si>
    <t>GRTE Novo Hamburgo</t>
  </si>
  <si>
    <t>RSOSR0TC002</t>
  </si>
  <si>
    <t>ARTE Osório</t>
  </si>
  <si>
    <t>RSPAE0TC057</t>
  </si>
  <si>
    <t>SRTE Porto Alegre</t>
  </si>
  <si>
    <t>RSPAS0TC006</t>
  </si>
  <si>
    <t>GRTE Passo Fundo</t>
  </si>
  <si>
    <t>RSPLT0TC008</t>
  </si>
  <si>
    <t>GRTE Pelotas</t>
  </si>
  <si>
    <t>RSPMM0TC002</t>
  </si>
  <si>
    <t>ARTE Palmeira das Missões</t>
  </si>
  <si>
    <t>RSRGR0TC007</t>
  </si>
  <si>
    <t>GRTE Rio Grande</t>
  </si>
  <si>
    <t>RSSAN0TC005</t>
  </si>
  <si>
    <t>GRTE Santo Ângelo</t>
  </si>
  <si>
    <t>RSSCR0TC003</t>
  </si>
  <si>
    <t>GRTE Santa Cruz do Sul</t>
  </si>
  <si>
    <t>RSSIV0TC011</t>
  </si>
  <si>
    <t>ARTE Santana do Livramento</t>
  </si>
  <si>
    <t>RSSJA0TC002</t>
  </si>
  <si>
    <t>ARTE São Borja</t>
  </si>
  <si>
    <t>RSSLE0TC003</t>
  </si>
  <si>
    <t>GRTE São Leopoldo</t>
  </si>
  <si>
    <t>RSSMA0TC010</t>
  </si>
  <si>
    <t>GRTE Santa Maria</t>
  </si>
  <si>
    <t>RSSRO0TC003</t>
  </si>
  <si>
    <t>ARTE Santa Rosa</t>
  </si>
  <si>
    <t>RSUGN0TC008</t>
  </si>
  <si>
    <t>GRTE Uruguaiana</t>
  </si>
  <si>
    <t>SCARU0TC006</t>
  </si>
  <si>
    <t>ARTE Araranguá</t>
  </si>
  <si>
    <t xml:space="preserve">Localidade reagendada MA </t>
  </si>
  <si>
    <t>SCBNU0TC008</t>
  </si>
  <si>
    <t>ARTE Blumenau</t>
  </si>
  <si>
    <t>SCBQE0TC003</t>
  </si>
  <si>
    <t>ARTE Brusque</t>
  </si>
  <si>
    <t>Localidade migrada com 1 link</t>
  </si>
  <si>
    <t>SCCCO0TC008</t>
  </si>
  <si>
    <t>GRTE Chapecó</t>
  </si>
  <si>
    <t xml:space="preserve">Localidade migrada com 1 link </t>
  </si>
  <si>
    <t>SCCDA0TC002</t>
  </si>
  <si>
    <t>ARTE Concórdia</t>
  </si>
  <si>
    <t>SCCDR0TC003</t>
  </si>
  <si>
    <t>ARTE Caçador</t>
  </si>
  <si>
    <t>SCCUA0TC007</t>
  </si>
  <si>
    <t>GRTE Criciúma</t>
  </si>
  <si>
    <t>SCFNS0TC022</t>
  </si>
  <si>
    <t>SRTE Florianópolis</t>
  </si>
  <si>
    <t>Localidade migrada com 2 links - problema de VOIP -TLB</t>
  </si>
  <si>
    <t>SCIAI0TC006</t>
  </si>
  <si>
    <t>GRTE Itajaí</t>
  </si>
  <si>
    <t>SCJCA0TC002</t>
  </si>
  <si>
    <t>ARTE Joaçaba</t>
  </si>
  <si>
    <t>SCJGS0TC004</t>
  </si>
  <si>
    <t>ARTE Jaraguá do Sul</t>
  </si>
  <si>
    <t>SCJVE0TC012</t>
  </si>
  <si>
    <t>GRTE Joinville</t>
  </si>
  <si>
    <t>SCLGA0TC002</t>
  </si>
  <si>
    <t>ARTE Laguna</t>
  </si>
  <si>
    <t>SCLGS0TC003</t>
  </si>
  <si>
    <t>GRTE Lages</t>
  </si>
  <si>
    <t>SCRIN0TC001</t>
  </si>
  <si>
    <t>ARTE Rio Negrinho</t>
  </si>
  <si>
    <t>SCRSL0TC002</t>
  </si>
  <si>
    <t>ARTE Rio do Sul</t>
  </si>
  <si>
    <t>SCSGE0TC002</t>
  </si>
  <si>
    <t>ARTE São Miguel do Oeste</t>
  </si>
  <si>
    <t>SCSOO0TC006</t>
  </si>
  <si>
    <t>ARTE São José</t>
  </si>
  <si>
    <t>SCTRO0TC003</t>
  </si>
  <si>
    <t>ARTE Tubarão</t>
  </si>
  <si>
    <t>SCVII0TC002</t>
  </si>
  <si>
    <t>ARTE Videira</t>
  </si>
  <si>
    <t>SEAJU0TC020</t>
  </si>
  <si>
    <t>SRTE Aracaju - Paracatuba</t>
  </si>
  <si>
    <t>SEETC0TC003</t>
  </si>
  <si>
    <t>ARTE Estância</t>
  </si>
  <si>
    <t>SEINT0TC002</t>
  </si>
  <si>
    <t>ARTE Itabaiana</t>
  </si>
  <si>
    <t>SELAT0TC004</t>
  </si>
  <si>
    <t>ARTE Lagarto</t>
  </si>
  <si>
    <t>SENHG0TC005</t>
  </si>
  <si>
    <t>ARTE Nossa Senhora da Glória</t>
  </si>
  <si>
    <t>SPAAS0TC003</t>
  </si>
  <si>
    <t>ARTE Araras</t>
  </si>
  <si>
    <t>SPAMR0TC003</t>
  </si>
  <si>
    <t>ARTE Americana</t>
  </si>
  <si>
    <t>SPARC0TC003</t>
  </si>
  <si>
    <t>GRTE Araçatuba</t>
  </si>
  <si>
    <t>Links fora - TLB</t>
  </si>
  <si>
    <t>SPARO0TC003</t>
  </si>
  <si>
    <t>ARTE Amparo</t>
  </si>
  <si>
    <t>Localidade reagendada MA Telecom - técnico de atestado - MVC</t>
  </si>
  <si>
    <t>SPARQ0TC006</t>
  </si>
  <si>
    <t>GRTE Araraquara</t>
  </si>
  <si>
    <t>SPAUJ0TC002</t>
  </si>
  <si>
    <t>ARTE Arujá</t>
  </si>
  <si>
    <t>SPBDO0TC002</t>
  </si>
  <si>
    <t>ARTE Bebedouro</t>
  </si>
  <si>
    <t>SPBGP0TC002</t>
  </si>
  <si>
    <t>ARTE Bragança Paulista</t>
  </si>
  <si>
    <t>SPBRS0TC009</t>
  </si>
  <si>
    <t>GRTE Barretos</t>
  </si>
  <si>
    <t>SPBRU0TC007</t>
  </si>
  <si>
    <t>GRTE Bauru</t>
  </si>
  <si>
    <t>SPBTU0TC002</t>
  </si>
  <si>
    <t>ARTE Botucatu</t>
  </si>
  <si>
    <t>SPCAS0TC016</t>
  </si>
  <si>
    <t>GRTE Campinas</t>
  </si>
  <si>
    <t>SPCOA0TC005</t>
  </si>
  <si>
    <t>ARTE Cotia</t>
  </si>
  <si>
    <t>SPCRO0TC002</t>
  </si>
  <si>
    <t>ARTE Cruzeiro</t>
  </si>
  <si>
    <t>SPFAC0TC005</t>
  </si>
  <si>
    <t>GRTE Franca</t>
  </si>
  <si>
    <t>SPGRS0TC008</t>
  </si>
  <si>
    <t>GRTE Guarulhos</t>
  </si>
  <si>
    <t>SPGTA0TC003</t>
  </si>
  <si>
    <t>ARTE Guaratinguetá</t>
  </si>
  <si>
    <t>SPIGA0TC003</t>
  </si>
  <si>
    <t>ARTE ltapetininga</t>
  </si>
  <si>
    <t>SPIVA0TC001</t>
  </si>
  <si>
    <t>ARTE Itapeva</t>
  </si>
  <si>
    <t>SPJAI0TC003</t>
  </si>
  <si>
    <t>GRTE Jundiaí</t>
  </si>
  <si>
    <t>Localidade finalizada com 1 link</t>
  </si>
  <si>
    <t>SPMGU0TC003</t>
  </si>
  <si>
    <t>ARTE Mogi Guaçu</t>
  </si>
  <si>
    <t>SPMIA0TC003</t>
  </si>
  <si>
    <t>GRTE Marília</t>
  </si>
  <si>
    <t>SPMMM0TC002</t>
  </si>
  <si>
    <t>ARTE Mogi Mirim</t>
  </si>
  <si>
    <t>Localidade migrada mas não funcional - localidade usando rede da prefeitura e não da TLB e não possui switch instalado - TLB precisa alterar a estrutura do local - NECESSÁRIO REVISITA</t>
  </si>
  <si>
    <t>SPMNT0TC002</t>
  </si>
  <si>
    <t>ARTE Monte Alto</t>
  </si>
  <si>
    <t>SPNHT0TC001</t>
  </si>
  <si>
    <t>ARTE Novo Horizonte</t>
  </si>
  <si>
    <t>SPOCO0TC003</t>
  </si>
  <si>
    <t>GRTE Osasco</t>
  </si>
  <si>
    <t>SPOIA0TC002</t>
  </si>
  <si>
    <t>ARTE Orlândia</t>
  </si>
  <si>
    <t>SPOSC0TC002</t>
  </si>
  <si>
    <t>ARTE Osvaldo Cruz</t>
  </si>
  <si>
    <t>SPPAA0TC004</t>
  </si>
  <si>
    <t>GRTE Piracicaba</t>
  </si>
  <si>
    <t>Link não funcional - TLB</t>
  </si>
  <si>
    <t>Link não funcional novamente - TLB</t>
  </si>
  <si>
    <t>Migrada com 1 link - problema TLB</t>
  </si>
  <si>
    <t>SPPAG0TC003</t>
  </si>
  <si>
    <t>ARTE Pirassununga</t>
  </si>
  <si>
    <t>SPPBA0TC003</t>
  </si>
  <si>
    <t>ARTE Pindamonhangaba</t>
  </si>
  <si>
    <t>SPPGE0TC002</t>
  </si>
  <si>
    <t>ARTE Praia Grande</t>
  </si>
  <si>
    <t>SPPGP0TC003</t>
  </si>
  <si>
    <t>ARTE Paraguaçu Paulista</t>
  </si>
  <si>
    <t>SPPNI0TC002</t>
  </si>
  <si>
    <t>ARTE Penápolis</t>
  </si>
  <si>
    <t>SPPPE0TC003</t>
  </si>
  <si>
    <t>GRTE Presidente Prudente</t>
  </si>
  <si>
    <t>SPPRF0TC002</t>
  </si>
  <si>
    <t>ARTE Porto Feliz</t>
  </si>
  <si>
    <t>SPRCO0TC003</t>
  </si>
  <si>
    <t>ARTE Rio Claro</t>
  </si>
  <si>
    <t>SPRGT0TC005</t>
  </si>
  <si>
    <t>ARTE Registro</t>
  </si>
  <si>
    <t>SPRPO0TC007</t>
  </si>
  <si>
    <t>GRTE Ribeirão Preto</t>
  </si>
  <si>
    <t xml:space="preserve">Localidade teve que ser remarcada devido a atraso do técnico que chegou as 14h </t>
  </si>
  <si>
    <t>SPSBO0TC002</t>
  </si>
  <si>
    <t>GRTE São Bernardo Do Campo</t>
  </si>
  <si>
    <t>Localiddade migrada com 1 link - o segundo link estava inoperante</t>
  </si>
  <si>
    <t>SPSCL0TC004</t>
  </si>
  <si>
    <t>GRTE São Carlos</t>
  </si>
  <si>
    <t>SPSJC0TC008</t>
  </si>
  <si>
    <t>GRTE São José Dos Campos</t>
  </si>
  <si>
    <t>SPSJR0TC001</t>
  </si>
  <si>
    <t>ARTE São José do Rio Pardo</t>
  </si>
  <si>
    <t>SPSNE0TC003</t>
  </si>
  <si>
    <t>GRTE Santo André</t>
  </si>
  <si>
    <t>Equipamento instalado mas não migrado, o único link disponível não estava funcional - TLB</t>
  </si>
  <si>
    <t>Localidade migrada com 1 link - precisará de 3º visita</t>
  </si>
  <si>
    <t>SPSOC0TC006</t>
  </si>
  <si>
    <t>GRTE Sorocaba</t>
  </si>
  <si>
    <t>Localidade migrada com apenas 1 link  - técnico chegou 10h08</t>
  </si>
  <si>
    <t>SPSPO0TC100</t>
  </si>
  <si>
    <t>SRTE São Paulo</t>
  </si>
  <si>
    <t>SPSQB0TC003</t>
  </si>
  <si>
    <t>ARTE São Joaquim da Barra</t>
  </si>
  <si>
    <t>SPSRE0TC004</t>
  </si>
  <si>
    <t>ARTE São Roque</t>
  </si>
  <si>
    <t>Localidade migrada com 1 link - Técnico chegou as 9h23</t>
  </si>
  <si>
    <t>SPSRR0TC005</t>
  </si>
  <si>
    <t>GRTE São José Do Rio Preto</t>
  </si>
  <si>
    <t>SPSST0TC002</t>
  </si>
  <si>
    <t>ARTE São Sebastião</t>
  </si>
  <si>
    <t xml:space="preserve">Localidade migrada com 2 links - teve problemas com  1 dos links - mas deixamos conectado e registrado e quando subiu o outro link a unidade ficou totalmente funcional </t>
  </si>
  <si>
    <t>SPSTS0TC007</t>
  </si>
  <si>
    <t>GRTE Santos</t>
  </si>
  <si>
    <t>Localidade migrada com 1 link - Técnico chegou 9h22</t>
  </si>
  <si>
    <t>SPSTZ0TC003</t>
  </si>
  <si>
    <t>ARTE Sertãozinho</t>
  </si>
  <si>
    <t>Instalado e não migrado - Localidade sem switch (problema de estrutura local - TLB) - Técnico chegou no local as 11h26 - localidade com 2 links</t>
  </si>
  <si>
    <t>SPTBS0TC004</t>
  </si>
  <si>
    <t>ARTE Taboão Da Serra</t>
  </si>
  <si>
    <t>Localidade Migrada com 1 link - Técnico no local as 9h</t>
  </si>
  <si>
    <t>SPTIE0TC002</t>
  </si>
  <si>
    <t>ARTE Tietê</t>
  </si>
  <si>
    <t>Localidade Migrada com 1 link - técnico chegou as 9h06</t>
  </si>
  <si>
    <t>SPTTI0TC003</t>
  </si>
  <si>
    <t>ARTE Tatuí</t>
  </si>
  <si>
    <t>Localidade instalada com 1 link, porém não foi possível migrar por problemas no Manager  - técnico chegou 9h32 - problema TLB</t>
  </si>
  <si>
    <t>Localidade migrada com 1 link - técnico chegou 9h43</t>
  </si>
  <si>
    <t>SPVOM0TC002</t>
  </si>
  <si>
    <t>ARTE Votorantim</t>
  </si>
  <si>
    <t>TOARN0TC023</t>
  </si>
  <si>
    <t>ARTE Araguaína</t>
  </si>
  <si>
    <t>TOGUR0TC014</t>
  </si>
  <si>
    <t>ARTE Gurupi</t>
  </si>
  <si>
    <t xml:space="preserve">Localidade Migrada com 2 links - Técnico chegou 12h37 mas o início  das atividades se deu as 14h pois o local fechou para almoço </t>
  </si>
  <si>
    <t>TOPMJ0TC019</t>
  </si>
  <si>
    <t>SRTE Palmas</t>
  </si>
  <si>
    <t>Motivo_Padronizado</t>
  </si>
  <si>
    <t>Motivo_Padronizado2</t>
  </si>
  <si>
    <t>Motivo_Padronizado3</t>
  </si>
  <si>
    <t>Localidade reagendada pela Alltech - equipamento não chegou - MVC</t>
  </si>
  <si>
    <t>técnico no local porém a localidade está fechado - telebras</t>
  </si>
  <si>
    <t>conversor da fibra estava danificado. - tlb</t>
  </si>
  <si>
    <t>Técnico chegou 14:10 - MA</t>
  </si>
  <si>
    <t>"Aqui nessa unidade o MTE esta provisório, o Renato me informou que o prédio novo esta em reforma e precisa ser feito um novo agendamento. TELEBRAS</t>
  </si>
  <si>
    <t>Técnico vai se retirar do Local, a unidade ia fechar as 16:00 porém o Funcionário disse que conseguiria ficar até no máximo as 17:00, vai ser necessário Revisita para finalização - mvc</t>
  </si>
  <si>
    <t>Correção fotos devido localidade fechar cedo - telebras</t>
  </si>
  <si>
    <t>Técnico chegou de 12:00. fizemos as primeiras instalações do 40F mas não conseguimos concluir as fotos pois a localidade encerra as atividades as 13 horas, conseguimos com que ficassem até 15 horas. Mesmo assim não conseguimos terminar as fotos, podemos solicitar um reagendamento para conclui-las? - TLB</t>
  </si>
  <si>
    <t>tecnico tinha saido pra almoçar e quando voltou o responsavel local informou que a localidade ta fechada e não tem como abrir - tlb</t>
  </si>
  <si>
    <t xml:space="preserve">Técnico ma chegou as 14:00 e não deu tempo de finalizar book </t>
  </si>
  <si>
    <t>Localidade reagendade - MA Telecom</t>
  </si>
  <si>
    <t>Não migrada - problemas no Manager - tlb</t>
  </si>
  <si>
    <t>Finalizado + pendencia mvc</t>
  </si>
  <si>
    <t>Localidade migrada com 1 link -  tivemos um contratempo relacionado à distância do link de acesso 02, que acabou sendo instalado longe do ponto onde posicionamos o SDCE. Para contornar a situação, utilizamos o cabo previamente passado pela operadora e informamos a Giselle sobre o ocorrido. Ela nos comunicou que será necessário realizar a mudança do link para uma posição mais próxima ao SDCE.
NECESSÁRIO REVISITA - PROBLEMA TLB</t>
  </si>
  <si>
    <t>Localidade reagendada pela TLB - equipamento não chegou ao local  - ma</t>
  </si>
  <si>
    <t xml:space="preserve">Localidade reagendada TLB - equipamento não chegou ao local </t>
  </si>
  <si>
    <t>Localidade migrada com 1 link - precisa retornar para finalizar documentação com pendencia de foto</t>
  </si>
  <si>
    <t>Localidade fechada - feriado local (TELEBRAS autorizou agendamento)</t>
  </si>
  <si>
    <t>Localidade migrada com 1 link - Técnico chegou as 14h02 - mvc</t>
  </si>
  <si>
    <t>Não foi possível completar a documentação devido a um problema técnico. Precisaremos remarcar - MVC</t>
  </si>
  <si>
    <t>Finalizado com 1 Link</t>
  </si>
  <si>
    <t>Etiquetas erradas - MVC</t>
  </si>
  <si>
    <t>os túneis não sobem nesse link, pode registrar chamado túnel ipsec sem acesso - telebras + mvc faltou o item adicional aparecer na foto</t>
  </si>
  <si>
    <t>Faltando LAN-CLIENTE etiqueta - mvc</t>
  </si>
  <si>
    <t>CANCELADO</t>
  </si>
  <si>
    <t>1 link - TELEBRAS</t>
  </si>
  <si>
    <t xml:space="preserve">Técnico chegou tarde no local, não foi possível finalizar - ma </t>
  </si>
  <si>
    <t xml:space="preserve">Regandado MA </t>
  </si>
  <si>
    <t>Técnico chegou 15:30 - ma</t>
  </si>
  <si>
    <t>Primeira vez deu problema no manager - tlb</t>
  </si>
  <si>
    <t xml:space="preserve">Técnico chegou 14:31 - Finalizado 1 Link </t>
  </si>
  <si>
    <t>Revisita link</t>
  </si>
  <si>
    <t>Finalizado 2 links, no entanto a localidade está com pendencia por causa do segundo link da operadora que a telebras já está ciente</t>
  </si>
  <si>
    <t xml:space="preserve">ausência do cabo branco do equipamento instalado (mvc); apenas 1 link instalado </t>
  </si>
  <si>
    <t>Finalizado com 1 link</t>
  </si>
  <si>
    <t>Finalizado com 1 link, consta dois links ativos, no entantoo técnico da operadora que ativou o segundo pois precisou de remanejamento do equipamento do segundo link !</t>
  </si>
  <si>
    <t xml:space="preserve">Migrado com 1 link </t>
  </si>
  <si>
    <t>Correção fotos  - termo continua faltoso porque está incompleto a assinatura</t>
  </si>
  <si>
    <t>Finalizado, no entanto há pendencia de termo para essa localidade</t>
  </si>
  <si>
    <t>Localidade migrada com 1 link + pendencia mvc</t>
  </si>
  <si>
    <t>Foto ip  corporativo errado mvc  - 1 Link</t>
  </si>
  <si>
    <t xml:space="preserve">DOC 01 - Relatório fotográfico: Todas as etiquetas estão com a nomenclatura SDCE errada, está como "SCDE"                                                                                                                                                                            </t>
  </si>
  <si>
    <t>Faltando o DE: na etiqueta lan-cliente - mvc</t>
  </si>
  <si>
    <t>Localidade migrada com 1 link + termo errado</t>
  </si>
  <si>
    <t>Termo errado - ja solicitado</t>
  </si>
  <si>
    <t>Localidade migrada com 1 link - arrumar fotos</t>
  </si>
  <si>
    <t>Finalizado (c orrigido d ocumentação + 2 lin k instalado)</t>
  </si>
  <si>
    <t xml:space="preserve"> finalizado</t>
  </si>
  <si>
    <t>Localidade migrada com 1 link  e também não possui switch</t>
  </si>
  <si>
    <t>Finalizado (enviado para o sem pedencia)</t>
  </si>
  <si>
    <t>Localidade finalizada</t>
  </si>
  <si>
    <t xml:space="preserve"> Não possui switch nem rack
Finalizado (GERAR)</t>
  </si>
  <si>
    <t>Sim, por enquanto apenas um Link mesmo... Quanto ao SWITCH de LAN do cliente, ele provavelmente ainda vai instalar, devido a mudança de endereço. Vamos deixar o Fortigate funcionando, mas sem conexão de LAN... Fala pro técnico questionar quem está acompanhando...</t>
  </si>
  <si>
    <t>revisita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</si>
</sst>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4" fontId="2" fillId="0" borderId="5" xfId="0" applyNumberFormat="1" applyFont="1" applyBorder="1" applyAlignment="1">
      <alignment horizontal="center" vertical="center"/>
    </xf>
    <xf numFmtId="16" fontId="2" fillId="0" borderId="5" xfId="0" applyNumberFormat="1" applyFont="1" applyBorder="1" applyAlignment="1">
      <alignment horizontal="center" vertical="center" wrapText="1"/>
    </xf>
    <xf numFmtId="14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4" fillId="0" borderId="0" xfId="0" applyFont="1"/>
  </cellXfs>
  <cellStyles count="1">
    <cellStyle name="Normal" xfId="0" builtinId="0"/>
  </cellStyles>
  <dxfs count="18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1" formatCode="dd/m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9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nata de Oliveira Silva Borges" id="{E53DD94F-A6F3-4F1D-B101-4F2F5BBFC964}" userId="S::rborges@alltechsolucoes.com.br::cb2b6055-4977-4c82-908a-1fbb6d224d3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B83FD-543B-4EF4-AD96-FB9D7DF6F513}" name="Tabela9" displayName="Tabela9" ref="A1:M385" totalsRowShown="0" headerRowDxfId="17" dataDxfId="15" headerRowBorderDxfId="16" tableBorderDxfId="14" totalsRowBorderDxfId="13">
  <autoFilter ref="A1:M385" xr:uid="{46DB83FD-543B-4EF4-AD96-FB9D7DF6F513}">
    <filterColumn colId="1">
      <filters>
        <filter val="ARTE Rio de Janeiro - Jacarepaguá"/>
      </filters>
    </filterColumn>
  </autoFilter>
  <tableColumns count="13">
    <tableColumn id="1" xr3:uid="{1D7DBF8D-8C74-4B86-8CB4-51DD33FD3EBB}" name="SITE-ID" dataDxfId="12"/>
    <tableColumn id="3" xr3:uid="{B439AEFD-389B-4C3F-B714-17313BB2A506}" name="LOCALIDADE" dataDxfId="11"/>
    <tableColumn id="4" xr3:uid="{78EE2819-CEFF-4FDF-B5AD-D50B785A8B68}" name="1º  Visita" dataDxfId="10"/>
    <tableColumn id="5" xr3:uid="{527128F9-F3F8-40BB-9AC6-2E04EDD4DF78}" name="Obs" dataDxfId="9"/>
    <tableColumn id="13" xr3:uid="{03C0DAA9-4377-4430-827E-4ADBF068B9DD}" name="Motivo_Padronizado" dataDxfId="8">
      <calculatedColumnFormula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calculatedColumnFormula>
    </tableColumn>
    <tableColumn id="6" xr3:uid="{549D793A-AC01-4A60-A0FA-597C2D9F1A23}" name="2º Visita" dataDxfId="7"/>
    <tableColumn id="7" xr3:uid="{74ABAEA9-5A91-4E06-A3EB-BB6C9EED4C82}" name="Obs2" dataDxfId="6"/>
    <tableColumn id="14" xr3:uid="{01F64C9C-5FCA-49D5-B98C-5BB02CAAEA97}" name="Motivo_Padronizado2" dataDxfId="5">
      <calculatedColumnFormula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calculatedColumnFormula>
    </tableColumn>
    <tableColumn id="8" xr3:uid="{BCB3EC63-F01E-4B64-92CB-8744F3A73749}" name="3º Visita" dataDxfId="4"/>
    <tableColumn id="9" xr3:uid="{03B17354-30FD-4887-BBDF-7D9AA8304C3C}" name="Obs3" dataDxfId="3"/>
    <tableColumn id="15" xr3:uid="{FAED45E3-1D21-4156-B5AD-270152ADC9B0}" name="Motivo_Padronizado3" dataDxfId="2">
      <calculatedColumnFormula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calculatedColumnFormula>
    </tableColumn>
    <tableColumn id="10" xr3:uid="{B78FA64E-AD3A-408D-A428-A118DCC628C8}" name="4º Visita" dataDxfId="1"/>
    <tableColumn id="11" xr3:uid="{CB0C110C-DF1E-4AB4-B1FA-56537C0271C1}" name="Obs4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0" dT="2025-07-09T13:00:25.74" personId="{E53DD94F-A6F3-4F1D-B101-4F2F5BBFC964}" id="{57C72A64-D56B-4BA2-9128-36F0D4C3E879}">
    <text>08/07 - Giselle fez acionamento verificação e reparo do equipamento. Nesse mesmo dia foi aberto RMA na Fortinet: Bilhete #10889354 .</text>
  </threadedComment>
  <threadedComment ref="C288" dT="2025-05-15T00:21:15.04" personId="{E53DD94F-A6F3-4F1D-B101-4F2F5BBFC964}" id="{3BDA19E4-F11C-41E9-80B8-8F86EBC18AEE}">
    <text>09.05 - Rollback realizado a pedido do cliente.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01BCC-0FD2-4DFB-B5CA-B1F862BC06A9}">
  <dimension ref="A1:M393"/>
  <sheetViews>
    <sheetView tabSelected="1" zoomScaleNormal="100" workbookViewId="0">
      <selection activeCell="G386" sqref="G386"/>
    </sheetView>
  </sheetViews>
  <sheetFormatPr defaultColWidth="11.42578125" defaultRowHeight="15" x14ac:dyDescent="0.25"/>
  <cols>
    <col min="1" max="1" width="13.28515625" bestFit="1" customWidth="1"/>
    <col min="2" max="2" width="34" customWidth="1"/>
    <col min="3" max="3" width="14.140625" customWidth="1"/>
    <col min="4" max="4" width="32.7109375" bestFit="1" customWidth="1"/>
    <col min="5" max="5" width="28" bestFit="1" customWidth="1"/>
    <col min="6" max="6" width="12.85546875" style="5" bestFit="1" customWidth="1"/>
    <col min="7" max="7" width="29" bestFit="1" customWidth="1"/>
    <col min="8" max="8" width="29" customWidth="1"/>
    <col min="9" max="9" width="12.85546875" style="5" bestFit="1" customWidth="1"/>
    <col min="10" max="10" width="21" customWidth="1"/>
    <col min="11" max="11" width="26" bestFit="1" customWidth="1"/>
    <col min="12" max="12" width="12.42578125" bestFit="1" customWidth="1"/>
  </cols>
  <sheetData>
    <row r="1" spans="1:13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836</v>
      </c>
      <c r="F1" s="4" t="s">
        <v>4</v>
      </c>
      <c r="G1" s="2" t="s">
        <v>5</v>
      </c>
      <c r="H1" s="2" t="s">
        <v>837</v>
      </c>
      <c r="I1" s="4" t="s">
        <v>6</v>
      </c>
      <c r="J1" s="2" t="s">
        <v>7</v>
      </c>
      <c r="K1" s="2" t="s">
        <v>838</v>
      </c>
      <c r="L1" s="2" t="s">
        <v>8</v>
      </c>
      <c r="M1" s="3" t="s">
        <v>9</v>
      </c>
    </row>
    <row r="2" spans="1:13" hidden="1" x14ac:dyDescent="0.25">
      <c r="A2" s="6" t="s">
        <v>10</v>
      </c>
      <c r="B2" s="7" t="s">
        <v>11</v>
      </c>
      <c r="C2" s="8">
        <v>45876</v>
      </c>
      <c r="D2" s="9" t="s">
        <v>15</v>
      </c>
      <c r="E2" s="9" t="str">
        <f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f>
        <v>✅ Concluído</v>
      </c>
      <c r="F2" s="10"/>
      <c r="G2" s="11"/>
      <c r="H2" s="11" t="str">
        <f t="shared" ref="H2:H65" si="0"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f>
        <v/>
      </c>
      <c r="I2" s="10"/>
      <c r="J2" s="11"/>
      <c r="K2" s="11" t="str">
        <f t="shared" ref="K2:K65" si="1"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f>
        <v/>
      </c>
      <c r="L2" s="11"/>
      <c r="M2" s="11"/>
    </row>
    <row r="3" spans="1:13" ht="36" hidden="1" x14ac:dyDescent="0.25">
      <c r="A3" s="6" t="s">
        <v>12</v>
      </c>
      <c r="B3" s="7" t="s">
        <v>13</v>
      </c>
      <c r="C3" s="8">
        <v>45807</v>
      </c>
      <c r="D3" s="11" t="s">
        <v>14</v>
      </c>
      <c r="E3" s="9" t="str">
        <f t="shared" ref="E3:E66" si="2">IF(D3="","",IF(ISNUMBER(SEARCH("CANCELADO",UPPER(D3))),"CANCELADO",IF(AND(OR(ISNUMBER(SEARCH("TELEBRAS",UPPER(D3))),ISNUMBER(SEARCH("TLB",UPPER(D3))),ISNUMBER(SEARCH("LINK",UPPER(D3))),ISNUMBER(SEARCH("ROTA",UPPER(D3))),ISNUMBER(SEARCH("ENERGIA",UPPER(D3)))),OR(ISNUMBER(SEARCH("MVC",UPPER(D3))),ISNUMBER(SEARCH("FOTOS",UPPER(D3))),ISNUMBER(SEARCH("DOC",UPPER(D3))),ISNUMBER(SEARCH("TERMO",UPPER(D3))),ISNUMBER(SEARCH("CORREÇÃO",UPPER(D3))),ISNUMBER(SEARCH("CORRECAO",UPPER(D3))))),"🔴🟠 Misto (Telebras + MVC)",
IF(OR(ISNUMBER(SEARCH("TELEBRAS",UPPER(D3))),ISNUMBER(SEARCH("TLB",UPPER(D3))),ISNUMBER(SEARCH("LINK",UPPER(D3))),ISNUMBER(SEARCH("ROTA",UPPER(D3))),ISNUMBER(SEARCH("ENERGIA",UPPER(D3)))),"🔴 Infraestrutura (Telebras)",
IF(OR(ISNUMBER(SEARCH("MVC",UPPER(D3))),ISNUMBER(SEARCH("FOTOS",UPPER(D3))),ISNUMBER(SEARCH("DOC",UPPER(D3))),ISNUMBER(SEARCH("TERMO",UPPER(D3))),ISNUMBER(SEARCH("CORREÇÃO",UPPER(D3))),ISNUMBER(SEARCH("CORRECAO",UPPER(D3)))),"🟠 Pendência Operacional (MVC)",
IF(OR(ISNUMBER(SEARCH("FECHADO",UPPER(D3))),ISNUMBER(SEARCH("HORÁRIO",UPPER(D3))),ISNUMBER(SEARCH("TARDE",UPPER(D3))),ISNUMBER(SEARCH("CORREIOS",UPPER(D3))),ISNUMBER(SEARCH("MATERIAL",UPPER(D3))),ISNUMBER(SEARCH("REAGENDADA",UPPER(D3))),ISNUMBER(SEARCH("REAGENDADO",UPPER(D3))),ISNUMBER(SEARCH("ALLTECH",UPPER(D3))),ISNUMBER(SEARCH("MA",UPPER(D3))),ISNUMBER(SEARCH("SEFAZ",UPPER(D3)))),"🟡 Acesso / MA / Logística",
IF(OR(ISNUMBER(SEARCH("FINALIZADO",UPPER(D3))),ISNUMBER(SEARCH("FINALIZADA",UPPER(D3))),ISNUMBER(SEARCH("MIGRADA",UPPER(D3)))),"✅ Concluído",
"A Verificar")))))))</f>
        <v>🟠 Pendência Operacional (MVC)</v>
      </c>
      <c r="F3" s="10">
        <v>45943</v>
      </c>
      <c r="G3" s="11" t="s">
        <v>858</v>
      </c>
      <c r="H3" s="11" t="str">
        <f t="shared" si="0"/>
        <v>🟠 Pendência Operacional (MVC)</v>
      </c>
      <c r="I3" s="10">
        <v>45972</v>
      </c>
      <c r="J3" s="11" t="s">
        <v>15</v>
      </c>
      <c r="K3" s="11" t="str">
        <f t="shared" si="1"/>
        <v>✅ Concluído</v>
      </c>
      <c r="L3" s="11"/>
      <c r="M3" s="11"/>
    </row>
    <row r="4" spans="1:13" hidden="1" x14ac:dyDescent="0.25">
      <c r="A4" s="6" t="s">
        <v>16</v>
      </c>
      <c r="B4" s="7" t="s">
        <v>17</v>
      </c>
      <c r="C4" s="8">
        <v>45810</v>
      </c>
      <c r="D4" s="11" t="s">
        <v>650</v>
      </c>
      <c r="E4" s="9" t="str">
        <f t="shared" si="2"/>
        <v>🔴 Infraestrutura (Telebras)</v>
      </c>
      <c r="F4" s="10">
        <v>45903</v>
      </c>
      <c r="G4" s="11" t="s">
        <v>15</v>
      </c>
      <c r="H4" s="11" t="str">
        <f t="shared" si="0"/>
        <v>✅ Concluído</v>
      </c>
      <c r="I4" s="10"/>
      <c r="J4" s="11"/>
      <c r="K4" s="11" t="str">
        <f t="shared" si="1"/>
        <v/>
      </c>
      <c r="L4" s="11"/>
      <c r="M4" s="11"/>
    </row>
    <row r="5" spans="1:13" hidden="1" x14ac:dyDescent="0.25">
      <c r="A5" s="6" t="s">
        <v>18</v>
      </c>
      <c r="B5" s="7" t="s">
        <v>19</v>
      </c>
      <c r="C5" s="8">
        <v>45812</v>
      </c>
      <c r="D5" s="11" t="s">
        <v>14</v>
      </c>
      <c r="E5" s="9" t="str">
        <f t="shared" si="2"/>
        <v>🟠 Pendência Operacional (MVC)</v>
      </c>
      <c r="F5" s="10">
        <v>45946</v>
      </c>
      <c r="G5" s="11" t="s">
        <v>15</v>
      </c>
      <c r="H5" s="11" t="str">
        <f t="shared" si="0"/>
        <v>✅ Concluído</v>
      </c>
      <c r="I5" s="10"/>
      <c r="J5" s="11"/>
      <c r="K5" s="11" t="str">
        <f t="shared" si="1"/>
        <v/>
      </c>
      <c r="L5" s="11"/>
      <c r="M5" s="11"/>
    </row>
    <row r="6" spans="1:13" hidden="1" x14ac:dyDescent="0.25">
      <c r="A6" s="6" t="s">
        <v>20</v>
      </c>
      <c r="B6" s="7" t="s">
        <v>21</v>
      </c>
      <c r="C6" s="8">
        <v>45785</v>
      </c>
      <c r="D6" s="9" t="s">
        <v>15</v>
      </c>
      <c r="E6" s="9" t="str">
        <f t="shared" si="2"/>
        <v>✅ Concluído</v>
      </c>
      <c r="F6" s="10"/>
      <c r="G6" s="11"/>
      <c r="H6" s="11"/>
      <c r="I6" s="10"/>
      <c r="J6" s="11"/>
      <c r="K6" s="11" t="str">
        <f t="shared" si="1"/>
        <v/>
      </c>
      <c r="L6" s="11"/>
      <c r="M6" s="11"/>
    </row>
    <row r="7" spans="1:13" ht="48" hidden="1" x14ac:dyDescent="0.25">
      <c r="A7" s="6" t="s">
        <v>22</v>
      </c>
      <c r="B7" s="7" t="s">
        <v>23</v>
      </c>
      <c r="C7" s="8">
        <v>45813</v>
      </c>
      <c r="D7" s="11" t="s">
        <v>24</v>
      </c>
      <c r="E7" s="9" t="str">
        <f t="shared" si="2"/>
        <v>🔴 Infraestrutura (Telebras)</v>
      </c>
      <c r="F7" s="10"/>
      <c r="G7" s="11"/>
      <c r="H7" s="11" t="str">
        <f t="shared" si="0"/>
        <v/>
      </c>
      <c r="I7" s="10"/>
      <c r="J7" s="11"/>
      <c r="K7" s="11" t="str">
        <f t="shared" si="1"/>
        <v/>
      </c>
      <c r="L7" s="11"/>
      <c r="M7" s="11"/>
    </row>
    <row r="8" spans="1:13" hidden="1" x14ac:dyDescent="0.25">
      <c r="A8" s="6" t="s">
        <v>25</v>
      </c>
      <c r="B8" s="7" t="s">
        <v>26</v>
      </c>
      <c r="C8" s="8">
        <v>45804</v>
      </c>
      <c r="D8" s="11" t="s">
        <v>15</v>
      </c>
      <c r="E8" s="9" t="str">
        <f t="shared" si="2"/>
        <v>✅ Concluído</v>
      </c>
      <c r="F8" s="10"/>
      <c r="G8" s="11"/>
      <c r="H8" s="11" t="str">
        <f t="shared" si="0"/>
        <v/>
      </c>
      <c r="I8" s="10"/>
      <c r="J8" s="11"/>
      <c r="K8" s="11" t="str">
        <f t="shared" si="1"/>
        <v/>
      </c>
      <c r="L8" s="11"/>
      <c r="M8" s="11"/>
    </row>
    <row r="9" spans="1:13" hidden="1" x14ac:dyDescent="0.25">
      <c r="A9" s="6" t="s">
        <v>27</v>
      </c>
      <c r="B9" s="7" t="s">
        <v>28</v>
      </c>
      <c r="C9" s="8">
        <v>45852</v>
      </c>
      <c r="D9" s="11" t="s">
        <v>15</v>
      </c>
      <c r="E9" s="9" t="str">
        <f t="shared" si="2"/>
        <v>✅ Concluído</v>
      </c>
      <c r="F9" s="10"/>
      <c r="G9" s="11"/>
      <c r="H9" s="11" t="str">
        <f t="shared" si="0"/>
        <v/>
      </c>
      <c r="I9" s="10"/>
      <c r="J9" s="11"/>
      <c r="K9" s="11" t="str">
        <f t="shared" si="1"/>
        <v/>
      </c>
      <c r="L9" s="11"/>
      <c r="M9" s="11"/>
    </row>
    <row r="10" spans="1:13" hidden="1" x14ac:dyDescent="0.25">
      <c r="A10" s="6" t="s">
        <v>29</v>
      </c>
      <c r="B10" s="7" t="s">
        <v>30</v>
      </c>
      <c r="C10" s="8">
        <v>45841</v>
      </c>
      <c r="D10" s="11" t="s">
        <v>31</v>
      </c>
      <c r="E10" s="9" t="str">
        <f t="shared" si="2"/>
        <v>🟠 Pendência Operacional (MVC)</v>
      </c>
      <c r="F10" s="10"/>
      <c r="G10" s="11"/>
      <c r="H10" s="11" t="str">
        <f t="shared" si="0"/>
        <v/>
      </c>
      <c r="I10" s="10"/>
      <c r="J10" s="11"/>
      <c r="K10" s="11" t="str">
        <f t="shared" si="1"/>
        <v/>
      </c>
      <c r="L10" s="11"/>
      <c r="M10" s="11"/>
    </row>
    <row r="11" spans="1:13" ht="36" hidden="1" x14ac:dyDescent="0.25">
      <c r="A11" s="6" t="s">
        <v>32</v>
      </c>
      <c r="B11" s="7" t="s">
        <v>33</v>
      </c>
      <c r="C11" s="8">
        <v>45820</v>
      </c>
      <c r="D11" s="11" t="s">
        <v>34</v>
      </c>
      <c r="E11" s="9" t="str">
        <f t="shared" si="2"/>
        <v>🔴 Infraestrutura (Telebras)</v>
      </c>
      <c r="F11" s="10">
        <v>45845</v>
      </c>
      <c r="G11" s="11" t="s">
        <v>15</v>
      </c>
      <c r="H11" s="11" t="str">
        <f t="shared" si="0"/>
        <v>✅ Concluído</v>
      </c>
      <c r="I11" s="10"/>
      <c r="J11" s="11"/>
      <c r="K11" s="11" t="str">
        <f t="shared" si="1"/>
        <v/>
      </c>
      <c r="L11" s="11"/>
      <c r="M11" s="11"/>
    </row>
    <row r="12" spans="1:13" hidden="1" x14ac:dyDescent="0.25">
      <c r="A12" s="6" t="s">
        <v>35</v>
      </c>
      <c r="B12" s="7" t="s">
        <v>36</v>
      </c>
      <c r="C12" s="8">
        <v>45799</v>
      </c>
      <c r="D12" s="11" t="s">
        <v>15</v>
      </c>
      <c r="E12" s="9" t="str">
        <f t="shared" si="2"/>
        <v>✅ Concluído</v>
      </c>
      <c r="F12" s="10"/>
      <c r="G12" s="11"/>
      <c r="H12" s="11" t="str">
        <f t="shared" si="0"/>
        <v/>
      </c>
      <c r="I12" s="10"/>
      <c r="J12" s="11"/>
      <c r="K12" s="11" t="str">
        <f t="shared" si="1"/>
        <v/>
      </c>
      <c r="L12" s="11"/>
      <c r="M12" s="11"/>
    </row>
    <row r="13" spans="1:13" hidden="1" x14ac:dyDescent="0.25">
      <c r="A13" s="6" t="s">
        <v>37</v>
      </c>
      <c r="B13" s="7" t="s">
        <v>38</v>
      </c>
      <c r="C13" s="8">
        <v>45877</v>
      </c>
      <c r="D13" s="11" t="s">
        <v>15</v>
      </c>
      <c r="E13" s="9" t="str">
        <f t="shared" si="2"/>
        <v>✅ Concluído</v>
      </c>
      <c r="F13" s="10"/>
      <c r="G13" s="11"/>
      <c r="H13" s="11" t="str">
        <f t="shared" si="0"/>
        <v/>
      </c>
      <c r="I13" s="10"/>
      <c r="J13" s="11"/>
      <c r="K13" s="11" t="str">
        <f t="shared" si="1"/>
        <v/>
      </c>
      <c r="L13" s="11"/>
      <c r="M13" s="11"/>
    </row>
    <row r="14" spans="1:13" hidden="1" x14ac:dyDescent="0.25">
      <c r="A14" s="6" t="s">
        <v>39</v>
      </c>
      <c r="B14" s="7" t="s">
        <v>40</v>
      </c>
      <c r="C14" s="8">
        <v>45800</v>
      </c>
      <c r="D14" s="11" t="s">
        <v>15</v>
      </c>
      <c r="E14" s="9" t="str">
        <f t="shared" si="2"/>
        <v>✅ Concluído</v>
      </c>
      <c r="F14" s="10"/>
      <c r="G14" s="11"/>
      <c r="H14" s="11" t="str">
        <f t="shared" si="0"/>
        <v/>
      </c>
      <c r="I14" s="10"/>
      <c r="J14" s="11"/>
      <c r="K14" s="11" t="str">
        <f t="shared" si="1"/>
        <v/>
      </c>
      <c r="L14" s="11"/>
      <c r="M14" s="11"/>
    </row>
    <row r="15" spans="1:13" hidden="1" x14ac:dyDescent="0.25">
      <c r="A15" s="6" t="s">
        <v>41</v>
      </c>
      <c r="B15" s="7" t="s">
        <v>42</v>
      </c>
      <c r="C15" s="8">
        <v>45862</v>
      </c>
      <c r="D15" s="11" t="s">
        <v>650</v>
      </c>
      <c r="E15" s="9" t="str">
        <f t="shared" si="2"/>
        <v>🔴 Infraestrutura (Telebras)</v>
      </c>
      <c r="F15" s="10"/>
      <c r="G15" s="11"/>
      <c r="H15" s="11" t="str">
        <f t="shared" si="0"/>
        <v/>
      </c>
      <c r="I15" s="10"/>
      <c r="J15" s="11"/>
      <c r="K15" s="11" t="str">
        <f t="shared" si="1"/>
        <v/>
      </c>
      <c r="L15" s="11"/>
      <c r="M15" s="11"/>
    </row>
    <row r="16" spans="1:13" ht="28.5" hidden="1" customHeight="1" x14ac:dyDescent="0.25">
      <c r="A16" s="6" t="s">
        <v>43</v>
      </c>
      <c r="B16" s="7" t="s">
        <v>44</v>
      </c>
      <c r="C16" s="8">
        <v>45817</v>
      </c>
      <c r="D16" s="11" t="s">
        <v>14</v>
      </c>
      <c r="E16" s="9" t="str">
        <f t="shared" si="2"/>
        <v>🟠 Pendência Operacional (MVC)</v>
      </c>
      <c r="F16" s="10">
        <v>45819</v>
      </c>
      <c r="G16" s="11" t="s">
        <v>15</v>
      </c>
      <c r="H16" s="11" t="str">
        <f t="shared" si="0"/>
        <v>✅ Concluído</v>
      </c>
      <c r="I16" s="10"/>
      <c r="J16" s="11"/>
      <c r="K16" s="11" t="str">
        <f t="shared" si="1"/>
        <v/>
      </c>
      <c r="L16" s="11"/>
      <c r="M16" s="11"/>
    </row>
    <row r="17" spans="1:13" hidden="1" x14ac:dyDescent="0.25">
      <c r="A17" s="6" t="s">
        <v>45</v>
      </c>
      <c r="B17" s="7" t="s">
        <v>46</v>
      </c>
      <c r="C17" s="8">
        <v>45880</v>
      </c>
      <c r="D17" s="11" t="s">
        <v>15</v>
      </c>
      <c r="E17" s="9" t="str">
        <f t="shared" si="2"/>
        <v>✅ Concluído</v>
      </c>
      <c r="F17" s="10"/>
      <c r="G17" s="11"/>
      <c r="H17" s="11" t="str">
        <f t="shared" si="0"/>
        <v/>
      </c>
      <c r="I17" s="10"/>
      <c r="J17" s="11"/>
      <c r="K17" s="11" t="str">
        <f t="shared" si="1"/>
        <v/>
      </c>
      <c r="L17" s="11"/>
      <c r="M17" s="11"/>
    </row>
    <row r="18" spans="1:13" hidden="1" x14ac:dyDescent="0.25">
      <c r="A18" s="6" t="s">
        <v>47</v>
      </c>
      <c r="B18" s="7" t="s">
        <v>48</v>
      </c>
      <c r="C18" s="8">
        <v>45814</v>
      </c>
      <c r="D18" s="11" t="s">
        <v>15</v>
      </c>
      <c r="E18" s="9" t="str">
        <f t="shared" si="2"/>
        <v>✅ Concluído</v>
      </c>
      <c r="F18" s="10"/>
      <c r="G18" s="11"/>
      <c r="H18" s="11" t="str">
        <f t="shared" si="0"/>
        <v/>
      </c>
      <c r="I18" s="10"/>
      <c r="J18" s="11"/>
      <c r="K18" s="11" t="str">
        <f t="shared" si="1"/>
        <v/>
      </c>
      <c r="L18" s="11"/>
      <c r="M18" s="11"/>
    </row>
    <row r="19" spans="1:13" hidden="1" x14ac:dyDescent="0.25">
      <c r="A19" s="6" t="s">
        <v>49</v>
      </c>
      <c r="B19" s="7" t="s">
        <v>50</v>
      </c>
      <c r="C19" s="8">
        <v>45882</v>
      </c>
      <c r="D19" s="11" t="s">
        <v>15</v>
      </c>
      <c r="E19" s="9" t="str">
        <f t="shared" si="2"/>
        <v>✅ Concluído</v>
      </c>
      <c r="F19" s="10"/>
      <c r="G19" s="11"/>
      <c r="H19" s="11" t="str">
        <f t="shared" si="0"/>
        <v/>
      </c>
      <c r="I19" s="10"/>
      <c r="J19" s="11"/>
      <c r="K19" s="11" t="str">
        <f t="shared" si="1"/>
        <v/>
      </c>
      <c r="L19" s="11"/>
      <c r="M19" s="11"/>
    </row>
    <row r="20" spans="1:13" hidden="1" x14ac:dyDescent="0.25">
      <c r="A20" s="6" t="s">
        <v>51</v>
      </c>
      <c r="B20" s="7" t="s">
        <v>52</v>
      </c>
      <c r="C20" s="8">
        <v>45842</v>
      </c>
      <c r="D20" s="11" t="s">
        <v>15</v>
      </c>
      <c r="E20" s="9" t="str">
        <f t="shared" si="2"/>
        <v>✅ Concluído</v>
      </c>
      <c r="F20" s="10"/>
      <c r="G20" s="11"/>
      <c r="H20" s="11" t="str">
        <f t="shared" si="0"/>
        <v/>
      </c>
      <c r="I20" s="10"/>
      <c r="J20" s="11"/>
      <c r="K20" s="11" t="str">
        <f t="shared" si="1"/>
        <v/>
      </c>
      <c r="L20" s="11"/>
      <c r="M20" s="11"/>
    </row>
    <row r="21" spans="1:13" hidden="1" x14ac:dyDescent="0.25">
      <c r="A21" s="6" t="s">
        <v>53</v>
      </c>
      <c r="B21" s="7" t="s">
        <v>54</v>
      </c>
      <c r="C21" s="8">
        <v>45797</v>
      </c>
      <c r="D21" s="11" t="s">
        <v>15</v>
      </c>
      <c r="E21" s="9" t="str">
        <f t="shared" si="2"/>
        <v>✅ Concluído</v>
      </c>
      <c r="F21" s="10"/>
      <c r="G21" s="11"/>
      <c r="H21" s="11" t="str">
        <f t="shared" si="0"/>
        <v/>
      </c>
      <c r="I21" s="10"/>
      <c r="J21" s="11"/>
      <c r="K21" s="11" t="str">
        <f t="shared" si="1"/>
        <v/>
      </c>
      <c r="L21" s="11"/>
      <c r="M21" s="11"/>
    </row>
    <row r="22" spans="1:13" hidden="1" x14ac:dyDescent="0.25">
      <c r="A22" s="6" t="s">
        <v>55</v>
      </c>
      <c r="B22" s="7" t="s">
        <v>56</v>
      </c>
      <c r="C22" s="8">
        <v>45805</v>
      </c>
      <c r="D22" s="11" t="s">
        <v>15</v>
      </c>
      <c r="E22" s="9" t="str">
        <f t="shared" si="2"/>
        <v>✅ Concluído</v>
      </c>
      <c r="F22" s="10"/>
      <c r="G22" s="11"/>
      <c r="H22" s="11" t="str">
        <f t="shared" si="0"/>
        <v/>
      </c>
      <c r="I22" s="10"/>
      <c r="J22" s="11"/>
      <c r="K22" s="11" t="str">
        <f t="shared" si="1"/>
        <v/>
      </c>
      <c r="L22" s="11"/>
      <c r="M22" s="11"/>
    </row>
    <row r="23" spans="1:13" ht="72" hidden="1" x14ac:dyDescent="0.25">
      <c r="A23" s="6" t="s">
        <v>57</v>
      </c>
      <c r="B23" s="7" t="s">
        <v>58</v>
      </c>
      <c r="C23" s="8">
        <v>45798</v>
      </c>
      <c r="D23" s="11" t="s">
        <v>59</v>
      </c>
      <c r="E23" s="9" t="str">
        <f t="shared" si="2"/>
        <v>🔴🟠 Misto (Telebras + MVC)</v>
      </c>
      <c r="F23" s="10">
        <v>45798</v>
      </c>
      <c r="G23" s="11" t="s">
        <v>195</v>
      </c>
      <c r="H23" s="11" t="str">
        <f t="shared" si="0"/>
        <v>🟠 Pendência Operacional (MVC)</v>
      </c>
      <c r="I23" s="10">
        <v>45799</v>
      </c>
      <c r="J23" s="11" t="s">
        <v>15</v>
      </c>
      <c r="K23" s="11" t="str">
        <f t="shared" si="1"/>
        <v>✅ Concluído</v>
      </c>
      <c r="L23" s="11"/>
      <c r="M23" s="11"/>
    </row>
    <row r="24" spans="1:13" hidden="1" x14ac:dyDescent="0.25">
      <c r="A24" s="6" t="s">
        <v>60</v>
      </c>
      <c r="B24" s="7" t="s">
        <v>61</v>
      </c>
      <c r="C24" s="8">
        <v>45812</v>
      </c>
      <c r="D24" s="11" t="s">
        <v>15</v>
      </c>
      <c r="E24" s="9" t="str">
        <f t="shared" si="2"/>
        <v>✅ Concluído</v>
      </c>
      <c r="F24" s="10"/>
      <c r="G24" s="11"/>
      <c r="H24" s="11" t="str">
        <f t="shared" si="0"/>
        <v/>
      </c>
      <c r="I24" s="10"/>
      <c r="J24" s="11"/>
      <c r="K24" s="11" t="str">
        <f t="shared" si="1"/>
        <v/>
      </c>
      <c r="L24" s="11"/>
      <c r="M24" s="11"/>
    </row>
    <row r="25" spans="1:13" hidden="1" x14ac:dyDescent="0.25">
      <c r="A25" s="6" t="s">
        <v>62</v>
      </c>
      <c r="B25" s="7" t="s">
        <v>63</v>
      </c>
      <c r="C25" s="8">
        <v>45825</v>
      </c>
      <c r="D25" s="9" t="s">
        <v>863</v>
      </c>
      <c r="E25" s="9" t="str">
        <f t="shared" si="2"/>
        <v>CANCELADO</v>
      </c>
      <c r="F25" s="10"/>
      <c r="G25" s="11"/>
      <c r="H25" s="11" t="str">
        <f t="shared" si="0"/>
        <v/>
      </c>
      <c r="I25" s="10"/>
      <c r="J25" s="11"/>
      <c r="K25" s="11" t="str">
        <f t="shared" si="1"/>
        <v/>
      </c>
      <c r="L25" s="11"/>
      <c r="M25" s="11"/>
    </row>
    <row r="26" spans="1:13" hidden="1" x14ac:dyDescent="0.25">
      <c r="A26" s="6" t="s">
        <v>64</v>
      </c>
      <c r="B26" s="7" t="s">
        <v>65</v>
      </c>
      <c r="C26" s="8">
        <v>45826</v>
      </c>
      <c r="D26" s="9" t="s">
        <v>66</v>
      </c>
      <c r="E26" s="9" t="str">
        <f t="shared" si="2"/>
        <v>🔴 Infraestrutura (Telebras)</v>
      </c>
      <c r="F26" s="10">
        <v>45812</v>
      </c>
      <c r="G26" s="11" t="s">
        <v>15</v>
      </c>
      <c r="H26" s="11" t="str">
        <f t="shared" si="0"/>
        <v>✅ Concluído</v>
      </c>
      <c r="I26" s="10"/>
      <c r="J26" s="11"/>
      <c r="K26" s="11" t="str">
        <f t="shared" si="1"/>
        <v/>
      </c>
      <c r="L26" s="11"/>
      <c r="M26" s="11"/>
    </row>
    <row r="27" spans="1:13" ht="36" hidden="1" x14ac:dyDescent="0.25">
      <c r="A27" s="6" t="s">
        <v>68</v>
      </c>
      <c r="B27" s="7" t="s">
        <v>69</v>
      </c>
      <c r="C27" s="8">
        <v>45845</v>
      </c>
      <c r="D27" s="9" t="s">
        <v>70</v>
      </c>
      <c r="E27" s="9" t="str">
        <f t="shared" si="2"/>
        <v>🔴 Infraestrutura (Telebras)</v>
      </c>
      <c r="F27" s="10">
        <v>45826</v>
      </c>
      <c r="G27" s="11" t="s">
        <v>71</v>
      </c>
      <c r="H27" s="11" t="str">
        <f t="shared" si="0"/>
        <v>🔴 Infraestrutura (Telebras)</v>
      </c>
      <c r="I27" s="10">
        <v>45909</v>
      </c>
      <c r="J27" s="11" t="s">
        <v>15</v>
      </c>
      <c r="K27" s="11" t="str">
        <f t="shared" si="1"/>
        <v>✅ Concluído</v>
      </c>
      <c r="L27" s="11"/>
      <c r="M27" s="11"/>
    </row>
    <row r="28" spans="1:13" ht="48" hidden="1" x14ac:dyDescent="0.25">
      <c r="A28" s="6" t="s">
        <v>72</v>
      </c>
      <c r="B28" s="7" t="s">
        <v>73</v>
      </c>
      <c r="C28" s="8">
        <v>45819</v>
      </c>
      <c r="D28" s="9" t="s">
        <v>74</v>
      </c>
      <c r="E28" s="9" t="str">
        <f t="shared" si="2"/>
        <v>🔴 Infraestrutura (Telebras)</v>
      </c>
      <c r="F28" s="10">
        <v>45884</v>
      </c>
      <c r="G28" s="11" t="s">
        <v>875</v>
      </c>
      <c r="H28" s="11" t="str">
        <f t="shared" si="0"/>
        <v>🔴 Infraestrutura (Telebras)</v>
      </c>
      <c r="I28" s="10"/>
      <c r="J28" s="11"/>
      <c r="K28" s="11" t="str">
        <f t="shared" si="1"/>
        <v/>
      </c>
      <c r="L28" s="11"/>
      <c r="M28" s="11"/>
    </row>
    <row r="29" spans="1:13" hidden="1" x14ac:dyDescent="0.25">
      <c r="A29" s="6" t="s">
        <v>75</v>
      </c>
      <c r="B29" s="7" t="s">
        <v>76</v>
      </c>
      <c r="C29" s="8">
        <v>45821</v>
      </c>
      <c r="D29" s="9" t="s">
        <v>15</v>
      </c>
      <c r="E29" s="9" t="str">
        <f t="shared" si="2"/>
        <v>✅ Concluído</v>
      </c>
      <c r="F29" s="10"/>
      <c r="G29" s="11"/>
      <c r="H29" s="11" t="str">
        <f t="shared" si="0"/>
        <v/>
      </c>
      <c r="I29" s="10"/>
      <c r="J29" s="11"/>
      <c r="K29" s="11" t="str">
        <f t="shared" si="1"/>
        <v/>
      </c>
      <c r="L29" s="11"/>
      <c r="M29" s="11"/>
    </row>
    <row r="30" spans="1:13" hidden="1" x14ac:dyDescent="0.25">
      <c r="A30" s="6" t="s">
        <v>77</v>
      </c>
      <c r="B30" s="7" t="s">
        <v>78</v>
      </c>
      <c r="C30" s="8">
        <v>45831</v>
      </c>
      <c r="D30" s="9" t="s">
        <v>15</v>
      </c>
      <c r="E30" s="9" t="str">
        <f t="shared" si="2"/>
        <v>✅ Concluído</v>
      </c>
      <c r="F30" s="10"/>
      <c r="G30" s="11"/>
      <c r="H30" s="11" t="str">
        <f t="shared" si="0"/>
        <v/>
      </c>
      <c r="I30" s="10"/>
      <c r="J30" s="11"/>
      <c r="K30" s="11" t="str">
        <f t="shared" si="1"/>
        <v/>
      </c>
      <c r="L30" s="11"/>
      <c r="M30" s="11"/>
    </row>
    <row r="31" spans="1:13" hidden="1" x14ac:dyDescent="0.25">
      <c r="A31" s="6" t="s">
        <v>79</v>
      </c>
      <c r="B31" s="7" t="s">
        <v>80</v>
      </c>
      <c r="C31" s="8">
        <v>45820</v>
      </c>
      <c r="D31" s="9" t="s">
        <v>864</v>
      </c>
      <c r="E31" s="9" t="str">
        <f t="shared" si="2"/>
        <v>🔴 Infraestrutura (Telebras)</v>
      </c>
      <c r="F31" s="10">
        <v>45869</v>
      </c>
      <c r="G31" s="11" t="s">
        <v>15</v>
      </c>
      <c r="H31" s="11" t="str">
        <f t="shared" si="0"/>
        <v>✅ Concluído</v>
      </c>
      <c r="I31" s="10"/>
      <c r="J31" s="11"/>
      <c r="K31" s="11" t="str">
        <f t="shared" si="1"/>
        <v/>
      </c>
      <c r="L31" s="11"/>
      <c r="M31" s="11"/>
    </row>
    <row r="32" spans="1:13" hidden="1" x14ac:dyDescent="0.25">
      <c r="A32" s="6" t="s">
        <v>81</v>
      </c>
      <c r="B32" s="7" t="s">
        <v>82</v>
      </c>
      <c r="C32" s="8">
        <v>45790</v>
      </c>
      <c r="D32" s="9" t="s">
        <v>15</v>
      </c>
      <c r="E32" s="9" t="str">
        <f t="shared" si="2"/>
        <v>✅ Concluído</v>
      </c>
      <c r="F32" s="10"/>
      <c r="G32" s="11"/>
      <c r="H32" s="11"/>
      <c r="I32" s="10"/>
      <c r="J32" s="11"/>
      <c r="K32" s="11" t="str">
        <f t="shared" si="1"/>
        <v/>
      </c>
      <c r="L32" s="11"/>
      <c r="M32" s="11"/>
    </row>
    <row r="33" spans="1:13" hidden="1" x14ac:dyDescent="0.25">
      <c r="A33" s="6" t="s">
        <v>83</v>
      </c>
      <c r="B33" s="7" t="s">
        <v>84</v>
      </c>
      <c r="C33" s="8">
        <v>45810</v>
      </c>
      <c r="D33" s="9" t="s">
        <v>864</v>
      </c>
      <c r="E33" s="9" t="str">
        <f t="shared" si="2"/>
        <v>🔴 Infraestrutura (Telebras)</v>
      </c>
      <c r="F33" s="10">
        <v>45944</v>
      </c>
      <c r="G33" s="11" t="s">
        <v>15</v>
      </c>
      <c r="H33" s="11" t="str">
        <f t="shared" si="0"/>
        <v>✅ Concluído</v>
      </c>
      <c r="I33" s="10"/>
      <c r="J33" s="11"/>
      <c r="K33" s="11" t="str">
        <f t="shared" si="1"/>
        <v/>
      </c>
      <c r="L33" s="11"/>
      <c r="M33" s="11"/>
    </row>
    <row r="34" spans="1:13" hidden="1" x14ac:dyDescent="0.25">
      <c r="A34" s="6" t="s">
        <v>85</v>
      </c>
      <c r="B34" s="7" t="s">
        <v>86</v>
      </c>
      <c r="C34" s="8"/>
      <c r="D34" s="9"/>
      <c r="E34" s="9" t="str">
        <f t="shared" si="2"/>
        <v/>
      </c>
      <c r="F34" s="10"/>
      <c r="G34" s="11"/>
      <c r="H34" s="11" t="str">
        <f t="shared" si="0"/>
        <v/>
      </c>
      <c r="I34" s="10"/>
      <c r="J34" s="11"/>
      <c r="K34" s="11" t="str">
        <f t="shared" si="1"/>
        <v/>
      </c>
      <c r="L34" s="11"/>
      <c r="M34" s="11"/>
    </row>
    <row r="35" spans="1:13" hidden="1" x14ac:dyDescent="0.25">
      <c r="A35" s="6" t="s">
        <v>87</v>
      </c>
      <c r="B35" s="7" t="s">
        <v>88</v>
      </c>
      <c r="C35" s="8">
        <v>45811</v>
      </c>
      <c r="D35" s="9" t="s">
        <v>864</v>
      </c>
      <c r="E35" s="9" t="str">
        <f t="shared" si="2"/>
        <v>🔴 Infraestrutura (Telebras)</v>
      </c>
      <c r="F35" s="10">
        <v>45937</v>
      </c>
      <c r="G35" s="11" t="s">
        <v>886</v>
      </c>
      <c r="H35" s="11" t="str">
        <f t="shared" si="0"/>
        <v>✅ Concluído</v>
      </c>
      <c r="I35" s="10"/>
      <c r="J35" s="11"/>
      <c r="K35" s="11" t="str">
        <f t="shared" si="1"/>
        <v/>
      </c>
      <c r="L35" s="11"/>
      <c r="M35" s="11"/>
    </row>
    <row r="36" spans="1:13" hidden="1" x14ac:dyDescent="0.25">
      <c r="A36" s="6" t="s">
        <v>89</v>
      </c>
      <c r="B36" s="7" t="s">
        <v>90</v>
      </c>
      <c r="C36" s="8">
        <v>45824</v>
      </c>
      <c r="D36" s="11" t="s">
        <v>650</v>
      </c>
      <c r="E36" s="9" t="str">
        <f t="shared" si="2"/>
        <v>🔴 Infraestrutura (Telebras)</v>
      </c>
      <c r="F36" s="10"/>
      <c r="G36" s="11"/>
      <c r="H36" s="11" t="str">
        <f t="shared" si="0"/>
        <v/>
      </c>
      <c r="I36" s="10"/>
      <c r="J36" s="11"/>
      <c r="K36" s="11" t="str">
        <f t="shared" si="1"/>
        <v/>
      </c>
      <c r="L36" s="11"/>
      <c r="M36" s="11"/>
    </row>
    <row r="37" spans="1:13" hidden="1" x14ac:dyDescent="0.25">
      <c r="A37" s="6" t="s">
        <v>91</v>
      </c>
      <c r="B37" s="7" t="s">
        <v>92</v>
      </c>
      <c r="C37" s="8"/>
      <c r="D37" s="9"/>
      <c r="E37" s="9" t="str">
        <f t="shared" si="2"/>
        <v/>
      </c>
      <c r="F37" s="10"/>
      <c r="G37" s="11"/>
      <c r="H37" s="11" t="str">
        <f t="shared" si="0"/>
        <v/>
      </c>
      <c r="I37" s="10"/>
      <c r="J37" s="11"/>
      <c r="K37" s="11" t="str">
        <f t="shared" si="1"/>
        <v/>
      </c>
      <c r="L37" s="11"/>
      <c r="M37" s="11"/>
    </row>
    <row r="38" spans="1:13" hidden="1" x14ac:dyDescent="0.25">
      <c r="A38" s="6" t="s">
        <v>93</v>
      </c>
      <c r="B38" s="7" t="s">
        <v>94</v>
      </c>
      <c r="C38" s="8">
        <v>45825</v>
      </c>
      <c r="D38" s="11" t="s">
        <v>15</v>
      </c>
      <c r="E38" s="9" t="str">
        <f t="shared" si="2"/>
        <v>✅ Concluído</v>
      </c>
      <c r="F38" s="10"/>
      <c r="G38" s="11"/>
      <c r="H38" s="11" t="str">
        <f t="shared" si="0"/>
        <v/>
      </c>
      <c r="I38" s="10"/>
      <c r="J38" s="11"/>
      <c r="K38" s="11" t="str">
        <f t="shared" si="1"/>
        <v/>
      </c>
      <c r="L38" s="11"/>
      <c r="M38" s="11"/>
    </row>
    <row r="39" spans="1:13" hidden="1" x14ac:dyDescent="0.25">
      <c r="A39" s="6" t="s">
        <v>95</v>
      </c>
      <c r="B39" s="7" t="s">
        <v>96</v>
      </c>
      <c r="C39" s="8">
        <v>45805</v>
      </c>
      <c r="D39" s="11" t="s">
        <v>15</v>
      </c>
      <c r="E39" s="9" t="str">
        <f t="shared" si="2"/>
        <v>✅ Concluído</v>
      </c>
      <c r="F39" s="10"/>
      <c r="G39" s="11"/>
      <c r="H39" s="11" t="str">
        <f t="shared" si="0"/>
        <v/>
      </c>
      <c r="I39" s="10"/>
      <c r="J39" s="11"/>
      <c r="K39" s="11" t="str">
        <f t="shared" si="1"/>
        <v/>
      </c>
      <c r="L39" s="11"/>
      <c r="M39" s="11"/>
    </row>
    <row r="40" spans="1:13" hidden="1" x14ac:dyDescent="0.25">
      <c r="A40" s="6" t="s">
        <v>97</v>
      </c>
      <c r="B40" s="7" t="s">
        <v>98</v>
      </c>
      <c r="C40" s="8">
        <v>45814</v>
      </c>
      <c r="D40" s="11" t="s">
        <v>15</v>
      </c>
      <c r="E40" s="9" t="str">
        <f t="shared" si="2"/>
        <v>✅ Concluído</v>
      </c>
      <c r="F40" s="10"/>
      <c r="G40" s="11"/>
      <c r="H40" s="11" t="str">
        <f t="shared" si="0"/>
        <v/>
      </c>
      <c r="I40" s="10"/>
      <c r="J40" s="11"/>
      <c r="K40" s="11" t="str">
        <f t="shared" si="1"/>
        <v/>
      </c>
      <c r="L40" s="11"/>
      <c r="M40" s="11"/>
    </row>
    <row r="41" spans="1:13" hidden="1" x14ac:dyDescent="0.25">
      <c r="A41" s="6" t="s">
        <v>99</v>
      </c>
      <c r="B41" s="7" t="s">
        <v>100</v>
      </c>
      <c r="C41" s="8">
        <v>45810</v>
      </c>
      <c r="D41" s="11" t="s">
        <v>15</v>
      </c>
      <c r="E41" s="9" t="str">
        <f t="shared" si="2"/>
        <v>✅ Concluído</v>
      </c>
      <c r="F41" s="10"/>
      <c r="G41" s="11"/>
      <c r="H41" s="11" t="str">
        <f t="shared" si="0"/>
        <v/>
      </c>
      <c r="I41" s="10"/>
      <c r="J41" s="11"/>
      <c r="K41" s="11" t="str">
        <f t="shared" si="1"/>
        <v/>
      </c>
      <c r="L41" s="11"/>
      <c r="M41" s="11"/>
    </row>
    <row r="42" spans="1:13" hidden="1" x14ac:dyDescent="0.25">
      <c r="A42" s="6" t="s">
        <v>101</v>
      </c>
      <c r="B42" s="7" t="s">
        <v>102</v>
      </c>
      <c r="C42" s="8">
        <v>45807</v>
      </c>
      <c r="D42" s="11" t="s">
        <v>15</v>
      </c>
      <c r="E42" s="9" t="str">
        <f t="shared" si="2"/>
        <v>✅ Concluído</v>
      </c>
      <c r="F42" s="10"/>
      <c r="G42" s="11"/>
      <c r="H42" s="11" t="str">
        <f t="shared" si="0"/>
        <v/>
      </c>
      <c r="I42" s="10"/>
      <c r="J42" s="11"/>
      <c r="K42" s="11" t="str">
        <f t="shared" si="1"/>
        <v/>
      </c>
      <c r="L42" s="11"/>
      <c r="M42" s="11"/>
    </row>
    <row r="43" spans="1:13" hidden="1" x14ac:dyDescent="0.25">
      <c r="A43" s="6" t="s">
        <v>103</v>
      </c>
      <c r="B43" s="7" t="s">
        <v>104</v>
      </c>
      <c r="C43" s="8">
        <v>45812</v>
      </c>
      <c r="D43" s="11" t="s">
        <v>15</v>
      </c>
      <c r="E43" s="9" t="str">
        <f t="shared" si="2"/>
        <v>✅ Concluído</v>
      </c>
      <c r="F43" s="10"/>
      <c r="G43" s="11"/>
      <c r="H43" s="11" t="str">
        <f t="shared" si="0"/>
        <v/>
      </c>
      <c r="I43" s="10"/>
      <c r="J43" s="11"/>
      <c r="K43" s="11" t="str">
        <f t="shared" si="1"/>
        <v/>
      </c>
      <c r="L43" s="11"/>
      <c r="M43" s="11"/>
    </row>
    <row r="44" spans="1:13" hidden="1" x14ac:dyDescent="0.25">
      <c r="A44" s="6" t="s">
        <v>105</v>
      </c>
      <c r="B44" s="7" t="s">
        <v>106</v>
      </c>
      <c r="C44" s="8">
        <v>45782</v>
      </c>
      <c r="D44" s="9" t="s">
        <v>15</v>
      </c>
      <c r="E44" s="9" t="str">
        <f t="shared" si="2"/>
        <v>✅ Concluído</v>
      </c>
      <c r="F44" s="10"/>
      <c r="G44" s="11"/>
      <c r="H44" s="11" t="str">
        <f t="shared" si="0"/>
        <v/>
      </c>
      <c r="I44" s="10"/>
      <c r="J44" s="11"/>
      <c r="K44" s="11" t="str">
        <f t="shared" si="1"/>
        <v/>
      </c>
      <c r="L44" s="11"/>
      <c r="M44" s="11"/>
    </row>
    <row r="45" spans="1:13" hidden="1" x14ac:dyDescent="0.25">
      <c r="A45" s="6" t="s">
        <v>107</v>
      </c>
      <c r="B45" s="7" t="s">
        <v>108</v>
      </c>
      <c r="C45" s="8">
        <v>45798</v>
      </c>
      <c r="D45" s="11" t="s">
        <v>15</v>
      </c>
      <c r="E45" s="9" t="str">
        <f t="shared" si="2"/>
        <v>✅ Concluído</v>
      </c>
      <c r="F45" s="10"/>
      <c r="G45" s="11"/>
      <c r="H45" s="11" t="str">
        <f t="shared" si="0"/>
        <v/>
      </c>
      <c r="I45" s="10"/>
      <c r="J45" s="11"/>
      <c r="K45" s="11" t="str">
        <f t="shared" si="1"/>
        <v/>
      </c>
      <c r="L45" s="11"/>
      <c r="M45" s="11"/>
    </row>
    <row r="46" spans="1:13" hidden="1" x14ac:dyDescent="0.25">
      <c r="A46" s="6" t="s">
        <v>109</v>
      </c>
      <c r="B46" s="7" t="s">
        <v>110</v>
      </c>
      <c r="C46" s="8">
        <v>45811</v>
      </c>
      <c r="D46" s="11" t="s">
        <v>650</v>
      </c>
      <c r="E46" s="9" t="str">
        <f t="shared" si="2"/>
        <v>🔴 Infraestrutura (Telebras)</v>
      </c>
      <c r="F46" s="10">
        <v>45980</v>
      </c>
      <c r="G46" s="11" t="s">
        <v>15</v>
      </c>
      <c r="H46" s="11" t="str">
        <f t="shared" si="0"/>
        <v>✅ Concluído</v>
      </c>
      <c r="I46" s="10"/>
      <c r="J46" s="11"/>
      <c r="K46" s="11" t="str">
        <f t="shared" si="1"/>
        <v/>
      </c>
      <c r="L46" s="11"/>
      <c r="M46" s="11"/>
    </row>
    <row r="47" spans="1:13" hidden="1" x14ac:dyDescent="0.25">
      <c r="A47" s="6" t="s">
        <v>111</v>
      </c>
      <c r="B47" s="7" t="s">
        <v>112</v>
      </c>
      <c r="C47" s="8">
        <v>45810</v>
      </c>
      <c r="D47" s="11" t="s">
        <v>842</v>
      </c>
      <c r="E47" s="9" t="str">
        <f t="shared" si="2"/>
        <v>🟡 Acesso / MA / Logística</v>
      </c>
      <c r="F47" s="10">
        <v>45868</v>
      </c>
      <c r="G47" s="11" t="s">
        <v>15</v>
      </c>
      <c r="H47" s="11" t="str">
        <f t="shared" si="0"/>
        <v>✅ Concluído</v>
      </c>
      <c r="I47" s="10"/>
      <c r="J47" s="11"/>
      <c r="K47" s="11" t="str">
        <f t="shared" si="1"/>
        <v/>
      </c>
      <c r="L47" s="11"/>
      <c r="M47" s="11"/>
    </row>
    <row r="48" spans="1:13" hidden="1" x14ac:dyDescent="0.25">
      <c r="A48" s="6" t="s">
        <v>113</v>
      </c>
      <c r="B48" s="7" t="s">
        <v>114</v>
      </c>
      <c r="C48" s="8">
        <v>45804</v>
      </c>
      <c r="D48" s="9" t="s">
        <v>889</v>
      </c>
      <c r="E48" s="9" t="str">
        <f t="shared" si="2"/>
        <v>✅ Concluído</v>
      </c>
      <c r="F48" s="10"/>
      <c r="G48" s="11"/>
      <c r="H48" s="11" t="str">
        <f t="shared" si="0"/>
        <v/>
      </c>
      <c r="I48" s="10"/>
      <c r="J48" s="11"/>
      <c r="K48" s="11" t="str">
        <f t="shared" si="1"/>
        <v/>
      </c>
      <c r="L48" s="11"/>
      <c r="M48" s="11"/>
    </row>
    <row r="49" spans="1:13" hidden="1" x14ac:dyDescent="0.25">
      <c r="A49" s="6" t="s">
        <v>115</v>
      </c>
      <c r="B49" s="7" t="s">
        <v>116</v>
      </c>
      <c r="C49" s="8">
        <v>45800</v>
      </c>
      <c r="D49" s="11" t="s">
        <v>15</v>
      </c>
      <c r="E49" s="9" t="str">
        <f t="shared" si="2"/>
        <v>✅ Concluído</v>
      </c>
      <c r="F49" s="10"/>
      <c r="G49" s="11"/>
      <c r="H49" s="11" t="str">
        <f t="shared" si="0"/>
        <v/>
      </c>
      <c r="I49" s="10"/>
      <c r="J49" s="11"/>
      <c r="K49" s="11" t="str">
        <f t="shared" si="1"/>
        <v/>
      </c>
      <c r="L49" s="11"/>
      <c r="M49" s="11"/>
    </row>
    <row r="50" spans="1:13" hidden="1" x14ac:dyDescent="0.25">
      <c r="A50" s="6" t="s">
        <v>117</v>
      </c>
      <c r="B50" s="7" t="s">
        <v>118</v>
      </c>
      <c r="C50" s="8">
        <v>45806</v>
      </c>
      <c r="D50" s="11" t="s">
        <v>15</v>
      </c>
      <c r="E50" s="9" t="str">
        <f t="shared" si="2"/>
        <v>✅ Concluído</v>
      </c>
      <c r="F50" s="10"/>
      <c r="G50" s="11"/>
      <c r="H50" s="11" t="str">
        <f t="shared" si="0"/>
        <v/>
      </c>
      <c r="I50" s="10"/>
      <c r="J50" s="11"/>
      <c r="K50" s="11" t="str">
        <f t="shared" si="1"/>
        <v/>
      </c>
      <c r="L50" s="11"/>
      <c r="M50" s="11"/>
    </row>
    <row r="51" spans="1:13" hidden="1" x14ac:dyDescent="0.25">
      <c r="A51" s="6" t="s">
        <v>119</v>
      </c>
      <c r="B51" s="7" t="s">
        <v>120</v>
      </c>
      <c r="C51" s="8">
        <v>45798</v>
      </c>
      <c r="D51" s="11" t="s">
        <v>15</v>
      </c>
      <c r="E51" s="9" t="str">
        <f t="shared" si="2"/>
        <v>✅ Concluído</v>
      </c>
      <c r="F51" s="10"/>
      <c r="G51" s="11"/>
      <c r="H51" s="11" t="str">
        <f t="shared" si="0"/>
        <v/>
      </c>
      <c r="I51" s="10"/>
      <c r="J51" s="11"/>
      <c r="K51" s="11" t="str">
        <f t="shared" si="1"/>
        <v/>
      </c>
      <c r="L51" s="11"/>
      <c r="M51" s="11"/>
    </row>
    <row r="52" spans="1:13" hidden="1" x14ac:dyDescent="0.25">
      <c r="A52" s="6" t="s">
        <v>121</v>
      </c>
      <c r="B52" s="7" t="s">
        <v>122</v>
      </c>
      <c r="C52" s="8">
        <v>45812</v>
      </c>
      <c r="D52" s="11" t="s">
        <v>15</v>
      </c>
      <c r="E52" s="9" t="str">
        <f t="shared" si="2"/>
        <v>✅ Concluído</v>
      </c>
      <c r="F52" s="10"/>
      <c r="G52" s="11"/>
      <c r="H52" s="11" t="str">
        <f t="shared" si="0"/>
        <v/>
      </c>
      <c r="I52" s="10"/>
      <c r="J52" s="11"/>
      <c r="K52" s="11" t="str">
        <f t="shared" si="1"/>
        <v/>
      </c>
      <c r="L52" s="11"/>
      <c r="M52" s="11"/>
    </row>
    <row r="53" spans="1:13" ht="48" hidden="1" x14ac:dyDescent="0.25">
      <c r="A53" s="6" t="s">
        <v>123</v>
      </c>
      <c r="B53" s="7" t="s">
        <v>124</v>
      </c>
      <c r="C53" s="8">
        <v>45824</v>
      </c>
      <c r="D53" s="11" t="s">
        <v>843</v>
      </c>
      <c r="E53" s="9" t="str">
        <f t="shared" si="2"/>
        <v>🔴 Infraestrutura (Telebras)</v>
      </c>
      <c r="F53" s="10">
        <v>45833</v>
      </c>
      <c r="G53" s="11" t="s">
        <v>15</v>
      </c>
      <c r="H53" s="11" t="str">
        <f t="shared" si="0"/>
        <v>✅ Concluído</v>
      </c>
      <c r="I53" s="10"/>
      <c r="J53" s="11"/>
      <c r="K53" s="11" t="str">
        <f t="shared" si="1"/>
        <v/>
      </c>
      <c r="L53" s="11"/>
      <c r="M53" s="11"/>
    </row>
    <row r="54" spans="1:13" ht="84" hidden="1" x14ac:dyDescent="0.25">
      <c r="A54" s="6" t="s">
        <v>125</v>
      </c>
      <c r="B54" s="7" t="s">
        <v>126</v>
      </c>
      <c r="C54" s="8">
        <v>45803</v>
      </c>
      <c r="D54" s="11" t="s">
        <v>127</v>
      </c>
      <c r="E54" s="9" t="str">
        <f t="shared" si="2"/>
        <v>🟡 Acesso / MA / Logística</v>
      </c>
      <c r="F54" s="10">
        <v>45811</v>
      </c>
      <c r="G54" s="11" t="s">
        <v>128</v>
      </c>
      <c r="H54" s="11" t="str">
        <f>IF(G54="","",IF(AND(OR(ISNUMBER(SEARCH("TELEBRAS",UPPER(G54))),ISNUMBER(SEARCH("TLB",UPPER(G54))),ISNUMBER(SEARCH("LINK",UPPER(G54))),ISNUMBER(SEARCH("ROTA",UPPER(G54))),ISNUMBER(SEARCH("ENERGIA",UPPER(G54)))),OR(ISNUMBER(SEARCH("MVC",UPPER(G54))),ISNUMBER(SEARCH("FOTOS",UPPER(G54))),ISNUMBER(SEARCH("DOC",UPPER(G54))),ISNUMBER(SEARCH("TERMO",UPPER(G54))),ISNUMBER(SEARCH("CORREÇÃO",UPPER(G54))),ISNUMBER(SEARCH("CORRECAO",UPPER(G54))))),"🔴🟠 Misto (Telebras + MVC)",
 IF(OR(ISNUMBER(SEARCH("TELEBRAS",UPPER(G54))),ISNUMBER(SEARCH("TLB",UPPER(G54))),ISNUMBER(SEARCH("LINK",UPPER(G54))),ISNUMBER(SEARCH("ROTA",UPPER(G54))),ISNUMBER(SEARCH("ENERGIA",UPPER(G54)))),"🔴 Infraestrutura (Telebras)",
 IF(OR(ISNUMBER(SEARCH("MVC",UPPER(G54))),ISNUMBER(SEARCH("FOTOS",UPPER(G54))),ISNUMBER(SEARCH("DOC",UPPER(G54))),ISNUMBER(SEARCH("TERMO",UPPER(G54))),ISNUMBER(SEARCH("CORREÇÃO",UPPER(G54))),ISNUMBER(SEARCH("CORRECAO",UPPER(G54)))),"🟠 Pendência Operacional (MVC)",
 IF(OR(ISNUMBER(SEARCH("FECHADO",UPPER(G54))),ISNUMBER(SEARCH("HORÁRIO",UPPER(G54))),ISNUMBER(SEARCH("TARDE",UPPER(G54))),ISNUMBER(SEARCH("CORREIOS",UPPER(G54))),ISNUMBER(SEARCH("MATERIAL",UPPER(G54))),ISNUMBER(SEARCH("REAGENDADA",UPPER(G54))),ISNUMBER(SEARCH("REAGENDADO",UPPER(G54))),ISNUMBER(SEARCH("ALLTECH",UPPER(G54))),ISNUMBER(SEARCH("MA",UPPER(G54))),ISNUMBER(SEARCH("SEFAZ",UPPER(G54)))),"🟡 Acesso / MA / Logística",
 IF(OR(ISNUMBER(SEARCH("FINALIZADO",UPPER(G54))),ISNUMBER(SEARCH("FINALIZADA",UPPER(G54))),ISNUMBER(SEARCH("MIGRADA",UPPER(G54)))),"✅ Concluído",
 "Outros / A Verificar"))))))</f>
        <v>🟡 Acesso / MA / Logística</v>
      </c>
      <c r="I54" s="10">
        <v>45820</v>
      </c>
      <c r="J54" s="11" t="s">
        <v>15</v>
      </c>
      <c r="K54" s="11" t="str">
        <f t="shared" si="1"/>
        <v>✅ Concluído</v>
      </c>
      <c r="L54" s="11"/>
      <c r="M54" s="11"/>
    </row>
    <row r="55" spans="1:13" ht="60" hidden="1" x14ac:dyDescent="0.25">
      <c r="A55" s="6" t="s">
        <v>129</v>
      </c>
      <c r="B55" s="7" t="s">
        <v>130</v>
      </c>
      <c r="C55" s="8">
        <v>45859</v>
      </c>
      <c r="D55" s="11" t="s">
        <v>844</v>
      </c>
      <c r="E55" s="9" t="str">
        <f t="shared" si="2"/>
        <v>🟠 Pendência Operacional (MVC)</v>
      </c>
      <c r="F55" s="10">
        <v>45863</v>
      </c>
      <c r="G55" s="11" t="s">
        <v>15</v>
      </c>
      <c r="H55" s="11" t="str">
        <f>IF(G55="","",IF(AND(OR(ISNUMBER(SEARCH("TELEBRAS",UPPER(G55))),ISNUMBER(SEARCH("TLB",UPPER(G55))),ISNUMBER(SEARCH("LINK",UPPER(G55))),ISNUMBER(SEARCH("ROTA",UPPER(G55))),ISNUMBER(SEARCH("ENERGIA",UPPER(G55)))),OR(ISNUMBER(SEARCH("MVC",UPPER(G55))),ISNUMBER(SEARCH("FOTOS",UPPER(G55))),ISNUMBER(SEARCH("DOC",UPPER(G55))),ISNUMBER(SEARCH("TERMO",UPPER(G55))),ISNUMBER(SEARCH("CORREÇÃO",UPPER(G55))),ISNUMBER(SEARCH("CORRECAO",UPPER(G55))))),"🔴🟠 Misto (Telebras + MVC)",
 IF(OR(ISNUMBER(SEARCH("TELEBRAS",UPPER(G55))),ISNUMBER(SEARCH("TLB",UPPER(G55))),ISNUMBER(SEARCH("LINK",UPPER(G55))),ISNUMBER(SEARCH("ROTA",UPPER(G55))),ISNUMBER(SEARCH("ENERGIA",UPPER(G55)))),"🔴 Infraestrutura (Telebras)",
 IF(OR(ISNUMBER(SEARCH("MVC",UPPER(G55))),ISNUMBER(SEARCH("FOTOS",UPPER(G55))),ISNUMBER(SEARCH("DOC",UPPER(G55))),ISNUMBER(SEARCH("TERMO",UPPER(G55))),ISNUMBER(SEARCH("CORREÇÃO",UPPER(G55))),ISNUMBER(SEARCH("CORRECAO",UPPER(G55)))),"🟠 Pendência Operacional (MVC)",
 IF(OR(ISNUMBER(SEARCH("FECHADO",UPPER(G55))),ISNUMBER(SEARCH("HORÁRIO",UPPER(G55))),ISNUMBER(SEARCH("TARDE",UPPER(G55))),ISNUMBER(SEARCH("CORREIOS",UPPER(G55))),ISNUMBER(SEARCH("MATERIAL",UPPER(G55))),ISNUMBER(SEARCH("REAGENDADA",UPPER(G55))),ISNUMBER(SEARCH("REAGENDADO",UPPER(G55))),ISNUMBER(SEARCH("ALLTECH",UPPER(G55))),ISNUMBER(SEARCH("MA",UPPER(G55))),ISNUMBER(SEARCH("SEFAZ",UPPER(G55)))),"🟡 Acesso / MA / Logística",
 IF(OR(ISNUMBER(SEARCH("FINALIZADO",UPPER(G55))),ISNUMBER(SEARCH("FINALIZADA",UPPER(G55))),ISNUMBER(SEARCH("MIGRADA",UPPER(G55)))),"✅ Concluído",
 "Outros / A Verificar"))))))</f>
        <v>✅ Concluído</v>
      </c>
      <c r="I55" s="10"/>
      <c r="J55" s="11"/>
      <c r="K55" s="11" t="str">
        <f t="shared" si="1"/>
        <v/>
      </c>
      <c r="L55" s="11"/>
      <c r="M55" s="11"/>
    </row>
    <row r="56" spans="1:13" hidden="1" x14ac:dyDescent="0.25">
      <c r="A56" s="6" t="s">
        <v>131</v>
      </c>
      <c r="B56" s="7" t="s">
        <v>132</v>
      </c>
      <c r="C56" s="8">
        <v>45782</v>
      </c>
      <c r="D56" s="11" t="s">
        <v>15</v>
      </c>
      <c r="E56" s="9" t="str">
        <f t="shared" si="2"/>
        <v>✅ Concluído</v>
      </c>
      <c r="F56" s="10"/>
      <c r="G56" s="11"/>
      <c r="H56" s="11" t="str">
        <f t="shared" si="0"/>
        <v/>
      </c>
      <c r="I56" s="10"/>
      <c r="J56" s="11"/>
      <c r="K56" s="11" t="str">
        <f t="shared" si="1"/>
        <v/>
      </c>
      <c r="L56" s="11"/>
      <c r="M56" s="11"/>
    </row>
    <row r="57" spans="1:13" hidden="1" x14ac:dyDescent="0.25">
      <c r="A57" s="6" t="s">
        <v>131</v>
      </c>
      <c r="B57" s="7" t="s">
        <v>133</v>
      </c>
      <c r="C57" s="8">
        <v>45749</v>
      </c>
      <c r="D57" s="11" t="s">
        <v>15</v>
      </c>
      <c r="E57" s="9" t="str">
        <f t="shared" si="2"/>
        <v>✅ Concluído</v>
      </c>
      <c r="F57" s="10"/>
      <c r="G57" s="11"/>
      <c r="H57" s="11" t="str">
        <f t="shared" si="0"/>
        <v/>
      </c>
      <c r="I57" s="10"/>
      <c r="J57" s="11"/>
      <c r="K57" s="11" t="str">
        <f t="shared" si="1"/>
        <v/>
      </c>
      <c r="L57" s="11"/>
      <c r="M57" s="11"/>
    </row>
    <row r="58" spans="1:13" hidden="1" x14ac:dyDescent="0.25">
      <c r="A58" s="6" t="s">
        <v>131</v>
      </c>
      <c r="B58" s="7" t="s">
        <v>133</v>
      </c>
      <c r="C58" s="8">
        <v>45749</v>
      </c>
      <c r="D58" s="11" t="s">
        <v>15</v>
      </c>
      <c r="E58" s="9" t="str">
        <f t="shared" si="2"/>
        <v>✅ Concluído</v>
      </c>
      <c r="F58" s="10"/>
      <c r="G58" s="11"/>
      <c r="H58" s="11" t="str">
        <f t="shared" si="0"/>
        <v/>
      </c>
      <c r="I58" s="10"/>
      <c r="J58" s="11"/>
      <c r="K58" s="11" t="str">
        <f t="shared" si="1"/>
        <v/>
      </c>
      <c r="L58" s="11"/>
      <c r="M58" s="11"/>
    </row>
    <row r="59" spans="1:13" hidden="1" x14ac:dyDescent="0.25">
      <c r="A59" s="6" t="s">
        <v>134</v>
      </c>
      <c r="B59" s="7" t="s">
        <v>135</v>
      </c>
      <c r="C59" s="8">
        <v>45769</v>
      </c>
      <c r="D59" s="11" t="s">
        <v>15</v>
      </c>
      <c r="E59" s="9" t="str">
        <f t="shared" si="2"/>
        <v>✅ Concluído</v>
      </c>
      <c r="F59" s="10"/>
      <c r="G59" s="11"/>
      <c r="H59" s="11" t="str">
        <f t="shared" si="0"/>
        <v/>
      </c>
      <c r="I59" s="10"/>
      <c r="J59" s="11"/>
      <c r="K59" s="11" t="str">
        <f t="shared" si="1"/>
        <v/>
      </c>
      <c r="L59" s="11"/>
      <c r="M59" s="11"/>
    </row>
    <row r="60" spans="1:13" hidden="1" x14ac:dyDescent="0.25">
      <c r="A60" s="6" t="s">
        <v>136</v>
      </c>
      <c r="B60" s="7" t="s">
        <v>137</v>
      </c>
      <c r="C60" s="8">
        <v>45834</v>
      </c>
      <c r="D60" s="11" t="s">
        <v>15</v>
      </c>
      <c r="E60" s="9" t="str">
        <f t="shared" si="2"/>
        <v>✅ Concluído</v>
      </c>
      <c r="F60" s="10"/>
      <c r="G60" s="11"/>
      <c r="H60" s="11" t="str">
        <f t="shared" si="0"/>
        <v/>
      </c>
      <c r="I60" s="10"/>
      <c r="J60" s="11"/>
      <c r="K60" s="11" t="str">
        <f t="shared" si="1"/>
        <v/>
      </c>
      <c r="L60" s="11"/>
      <c r="M60" s="11"/>
    </row>
    <row r="61" spans="1:13" hidden="1" x14ac:dyDescent="0.25">
      <c r="A61" s="6" t="s">
        <v>138</v>
      </c>
      <c r="B61" s="7" t="s">
        <v>139</v>
      </c>
      <c r="C61" s="8">
        <v>45800</v>
      </c>
      <c r="D61" s="11" t="s">
        <v>15</v>
      </c>
      <c r="E61" s="9" t="str">
        <f t="shared" si="2"/>
        <v>✅ Concluído</v>
      </c>
      <c r="F61" s="10"/>
      <c r="G61" s="11"/>
      <c r="H61" s="11" t="str">
        <f t="shared" si="0"/>
        <v/>
      </c>
      <c r="I61" s="10"/>
      <c r="J61" s="11"/>
      <c r="K61" s="11" t="str">
        <f t="shared" si="1"/>
        <v/>
      </c>
      <c r="L61" s="11"/>
      <c r="M61" s="11"/>
    </row>
    <row r="62" spans="1:13" hidden="1" x14ac:dyDescent="0.25">
      <c r="A62" s="6" t="s">
        <v>140</v>
      </c>
      <c r="B62" s="7" t="s">
        <v>141</v>
      </c>
      <c r="C62" s="8">
        <v>45821</v>
      </c>
      <c r="D62" s="11" t="s">
        <v>15</v>
      </c>
      <c r="E62" s="9" t="str">
        <f t="shared" si="2"/>
        <v>✅ Concluído</v>
      </c>
      <c r="F62" s="10"/>
      <c r="G62" s="11"/>
      <c r="H62" s="11" t="str">
        <f t="shared" si="0"/>
        <v/>
      </c>
      <c r="I62" s="10"/>
      <c r="J62" s="11"/>
      <c r="K62" s="11" t="str">
        <f t="shared" si="1"/>
        <v/>
      </c>
      <c r="L62" s="11"/>
      <c r="M62" s="11"/>
    </row>
    <row r="63" spans="1:13" hidden="1" x14ac:dyDescent="0.25">
      <c r="A63" s="6" t="s">
        <v>142</v>
      </c>
      <c r="B63" s="7" t="s">
        <v>143</v>
      </c>
      <c r="C63" s="8">
        <v>45799</v>
      </c>
      <c r="D63" s="11" t="s">
        <v>14</v>
      </c>
      <c r="E63" s="9" t="str">
        <f t="shared" si="2"/>
        <v>🟠 Pendência Operacional (MVC)</v>
      </c>
      <c r="F63" s="10">
        <v>45945</v>
      </c>
      <c r="G63" s="11" t="s">
        <v>15</v>
      </c>
      <c r="H63" s="11" t="str">
        <f>IF(G63="","",IF(AND(OR(ISNUMBER(SEARCH("TELEBRAS",UPPER(G63))),ISNUMBER(SEARCH("TLB",UPPER(G63))),ISNUMBER(SEARCH("LINK",UPPER(G63))),ISNUMBER(SEARCH("ROTA",UPPER(G63))),ISNUMBER(SEARCH("ENERGIA",UPPER(G63)))),OR(ISNUMBER(SEARCH("MVC",UPPER(G63))),ISNUMBER(SEARCH("FOTOS",UPPER(G63))),ISNUMBER(SEARCH("DOC",UPPER(G63))),ISNUMBER(SEARCH("TERMO",UPPER(G63))),ISNUMBER(SEARCH("CORREÇÃO",UPPER(G63))),ISNUMBER(SEARCH("CORRECAO",UPPER(G63))))),"🔴🟠 Misto (Telebras + MVC)",
 IF(OR(ISNUMBER(SEARCH("TELEBRAS",UPPER(G63))),ISNUMBER(SEARCH("TLB",UPPER(G63))),ISNUMBER(SEARCH("LINK",UPPER(G63))),ISNUMBER(SEARCH("ROTA",UPPER(G63))),ISNUMBER(SEARCH("ENERGIA",UPPER(G63)))),"🔴 Infraestrutura (Telebras)",
 IF(OR(ISNUMBER(SEARCH("MVC",UPPER(G63))),ISNUMBER(SEARCH("FOTOS",UPPER(G63))),ISNUMBER(SEARCH("DOC",UPPER(G63))),ISNUMBER(SEARCH("TERMO",UPPER(G63))),ISNUMBER(SEARCH("CORREÇÃO",UPPER(G63))),ISNUMBER(SEARCH("CORRECAO",UPPER(G63)))),"🟠 Pendência Operacional (MVC)",
 IF(OR(ISNUMBER(SEARCH("FECHADO",UPPER(G63))),ISNUMBER(SEARCH("HORÁRIO",UPPER(G63))),ISNUMBER(SEARCH("TARDE",UPPER(G63))),ISNUMBER(SEARCH("CORREIOS",UPPER(G63))),ISNUMBER(SEARCH("MATERIAL",UPPER(G63))),ISNUMBER(SEARCH("REAGENDADA",UPPER(G63))),ISNUMBER(SEARCH("REAGENDADO",UPPER(G63))),ISNUMBER(SEARCH("ALLTECH",UPPER(G63))),ISNUMBER(SEARCH("MA",UPPER(G63))),ISNUMBER(SEARCH("SEFAZ",UPPER(G63)))),"🟡 Acesso / MA / Logística",
 IF(OR(ISNUMBER(SEARCH("FINALIZADO",UPPER(G63))),ISNUMBER(SEARCH("FINALIZADA",UPPER(G63))),ISNUMBER(SEARCH("MIGRADA",UPPER(G63)))),"✅ Concluído",
 "Outros / A Verificar"))))))</f>
        <v>✅ Concluído</v>
      </c>
      <c r="I63" s="10"/>
      <c r="J63" s="11"/>
      <c r="K63" s="11" t="str">
        <f t="shared" si="1"/>
        <v/>
      </c>
      <c r="L63" s="11"/>
      <c r="M63" s="11"/>
    </row>
    <row r="64" spans="1:13" hidden="1" x14ac:dyDescent="0.25">
      <c r="A64" s="6" t="s">
        <v>144</v>
      </c>
      <c r="B64" s="7" t="s">
        <v>145</v>
      </c>
      <c r="C64" s="8">
        <v>45824</v>
      </c>
      <c r="D64" s="11" t="s">
        <v>15</v>
      </c>
      <c r="E64" s="9" t="str">
        <f t="shared" si="2"/>
        <v>✅ Concluído</v>
      </c>
      <c r="F64" s="10"/>
      <c r="G64" s="11"/>
      <c r="H64" s="11" t="str">
        <f t="shared" si="0"/>
        <v/>
      </c>
      <c r="I64" s="10"/>
      <c r="J64" s="11"/>
      <c r="K64" s="11" t="str">
        <f t="shared" si="1"/>
        <v/>
      </c>
      <c r="L64" s="11"/>
      <c r="M64" s="11"/>
    </row>
    <row r="65" spans="1:13" hidden="1" x14ac:dyDescent="0.25">
      <c r="A65" s="6" t="s">
        <v>146</v>
      </c>
      <c r="B65" s="7" t="s">
        <v>147</v>
      </c>
      <c r="C65" s="8">
        <v>45820</v>
      </c>
      <c r="D65" s="11" t="s">
        <v>15</v>
      </c>
      <c r="E65" s="9" t="str">
        <f t="shared" si="2"/>
        <v>✅ Concluído</v>
      </c>
      <c r="F65" s="10"/>
      <c r="G65" s="11"/>
      <c r="H65" s="11" t="str">
        <f t="shared" si="0"/>
        <v/>
      </c>
      <c r="I65" s="10"/>
      <c r="J65" s="11"/>
      <c r="K65" s="11" t="str">
        <f t="shared" si="1"/>
        <v/>
      </c>
      <c r="L65" s="11"/>
      <c r="M65" s="11"/>
    </row>
    <row r="66" spans="1:13" hidden="1" x14ac:dyDescent="0.25">
      <c r="A66" s="6" t="s">
        <v>148</v>
      </c>
      <c r="B66" s="7" t="s">
        <v>149</v>
      </c>
      <c r="C66" s="8">
        <v>45825</v>
      </c>
      <c r="D66" s="11" t="s">
        <v>15</v>
      </c>
      <c r="E66" s="9" t="str">
        <f t="shared" si="2"/>
        <v>✅ Concluído</v>
      </c>
      <c r="F66" s="10"/>
      <c r="G66" s="11"/>
      <c r="H66" s="11" t="str">
        <f t="shared" ref="H66:H129" si="3">IF(G66="","",IF(AND(OR(ISNUMBER(SEARCH("TELEBRAS",UPPER(G66))),ISNUMBER(SEARCH("TLB",UPPER(G66))),ISNUMBER(SEARCH("LINK",UPPER(G66))),ISNUMBER(SEARCH("ROTA",UPPER(G66))),ISNUMBER(SEARCH("ENERGIA",UPPER(G66)))),OR(ISNUMBER(SEARCH("MVC",UPPER(G66))),ISNUMBER(SEARCH("FOTOS",UPPER(G66))),ISNUMBER(SEARCH("DOC",UPPER(G66))),ISNUMBER(SEARCH("TERMO",UPPER(G66))),ISNUMBER(SEARCH("CORREÇÃO",UPPER(G66))),ISNUMBER(SEARCH("CORRECAO",UPPER(G66))))),"🔴🟠 Misto (Telebras + MVC)",
 IF(OR(ISNUMBER(SEARCH("TELEBRAS",UPPER(G66))),ISNUMBER(SEARCH("TLB",UPPER(G66))),ISNUMBER(SEARCH("LINK",UPPER(G66))),ISNUMBER(SEARCH("ROTA",UPPER(G66))),ISNUMBER(SEARCH("ENERGIA",UPPER(G66)))),"🔴 Infraestrutura (Telebras)",
 IF(OR(ISNUMBER(SEARCH("MVC",UPPER(G66))),ISNUMBER(SEARCH("FOTOS",UPPER(G66))),ISNUMBER(SEARCH("DOC",UPPER(G66))),ISNUMBER(SEARCH("TERMO",UPPER(G66))),ISNUMBER(SEARCH("CORREÇÃO",UPPER(G66))),ISNUMBER(SEARCH("CORRECAO",UPPER(G66)))),"🟠 Pendência Operacional (MVC)",
 IF(OR(ISNUMBER(SEARCH("FECHADO",UPPER(G66))),ISNUMBER(SEARCH("HORÁRIO",UPPER(G66))),ISNUMBER(SEARCH("TARDE",UPPER(G66))),ISNUMBER(SEARCH("CORREIOS",UPPER(G66))),ISNUMBER(SEARCH("MATERIAL",UPPER(G66))),ISNUMBER(SEARCH("REAGENDADA",UPPER(G66))),ISNUMBER(SEARCH("REAGENDADO",UPPER(G66))),ISNUMBER(SEARCH("ALLTECH",UPPER(G66))),ISNUMBER(SEARCH("MA",UPPER(G66))),ISNUMBER(SEARCH("SEFAZ",UPPER(G66)))),"🟡 Acesso / Logística",
 IF(OR(ISNUMBER(SEARCH("FINALIZADO",UPPER(G66))),ISNUMBER(SEARCH("FINALIZADA",UPPER(G66))),ISNUMBER(SEARCH("MIGRADA",UPPER(G66)))),"✅ Concluído",
 "Outros / A Verificar"))))))</f>
        <v/>
      </c>
      <c r="I66" s="10"/>
      <c r="J66" s="11"/>
      <c r="K66" s="11" t="str">
        <f t="shared" ref="K66:K129" si="4">IF(J66="","",IF(OR(ISNUMBER(SEARCH("TELEBRAS",UPPER(J66))), ISNUMBER(SEARCH("TLB",UPPER(J66))), ISNUMBER(SEARCH("LINK",UPPER(J66))), ISNUMBER(SEARCH("ROTA",UPPER(J66))), ISNUMBER(SEARCH("ENERGIA",UPPER(J66)))), "🔴 Infraestrutura (Telebras)",
 IF(OR(ISNUMBER(SEARCH("MVC",UPPER(J66))), ISNUMBER(SEARCH("FOTOS",UPPER(J66))), ISNUMBER(SEARCH("DOC",UPPER(J66))), ISNUMBER(SEARCH("TERMO",UPPER(J66))), ISNUMBER(SEARCH("CORREÇÃO",UPPER(J66))), ISNUMBER(SEARCH("CORRECAO",UPPER(J66)))), "🟠 Pendência Operacional (MVC)",
  IF(OR(ISNUMBER(SEARCH("FECHADO",UPPER(J66))), ISNUMBER(SEARCH("HORÁRIO",UPPER(J66))), ISNUMBER(SEARCH("TARDE",UPPER(J66))), ISNUMBER(SEARCH("CORREIOS",UPPER(J66))), ISNUMBER(SEARCH("MATERIAL",UPPER(J66)))), "🟡 Acesso / Logística",
   IF(OR(ISNUMBER(SEARCH("FINALIZADO",UPPER(J66))), ISNUMBER(SEARCH("MIGRADA",UPPER(J66)))), "✅ Concluído",
    "Outros / A Verificar")))))</f>
        <v/>
      </c>
      <c r="L66" s="11"/>
      <c r="M66" s="11"/>
    </row>
    <row r="67" spans="1:13" hidden="1" x14ac:dyDescent="0.25">
      <c r="A67" s="6" t="s">
        <v>150</v>
      </c>
      <c r="B67" s="7" t="s">
        <v>151</v>
      </c>
      <c r="C67" s="8">
        <v>45798</v>
      </c>
      <c r="D67" s="11" t="s">
        <v>867</v>
      </c>
      <c r="E67" s="9" t="str">
        <f t="shared" ref="E67:E130" si="5">IF(D67="","",IF(ISNUMBER(SEARCH("CANCELADO",UPPER(D67))),"CANCELADO",IF(AND(OR(ISNUMBER(SEARCH("TELEBRAS",UPPER(D67))),ISNUMBER(SEARCH("TLB",UPPER(D67))),ISNUMBER(SEARCH("LINK",UPPER(D67))),ISNUMBER(SEARCH("ROTA",UPPER(D67))),ISNUMBER(SEARCH("ENERGIA",UPPER(D67)))),OR(ISNUMBER(SEARCH("MVC",UPPER(D67))),ISNUMBER(SEARCH("FOTOS",UPPER(D67))),ISNUMBER(SEARCH("DOC",UPPER(D67))),ISNUMBER(SEARCH("TERMO",UPPER(D67))),ISNUMBER(SEARCH("CORREÇÃO",UPPER(D67))),ISNUMBER(SEARCH("CORRECAO",UPPER(D67))))),"🔴🟠 Misto (Telebras + MVC)",
IF(OR(ISNUMBER(SEARCH("TELEBRAS",UPPER(D67))),ISNUMBER(SEARCH("TLB",UPPER(D67))),ISNUMBER(SEARCH("LINK",UPPER(D67))),ISNUMBER(SEARCH("ROTA",UPPER(D67))),ISNUMBER(SEARCH("ENERGIA",UPPER(D67)))),"🔴 Infraestrutura (Telebras)",
IF(OR(ISNUMBER(SEARCH("MVC",UPPER(D67))),ISNUMBER(SEARCH("FOTOS",UPPER(D67))),ISNUMBER(SEARCH("DOC",UPPER(D67))),ISNUMBER(SEARCH("TERMO",UPPER(D67))),ISNUMBER(SEARCH("CORREÇÃO",UPPER(D67))),ISNUMBER(SEARCH("CORRECAO",UPPER(D67)))),"🟠 Pendência Operacional (MVC)",
IF(OR(ISNUMBER(SEARCH("FECHADO",UPPER(D67))),ISNUMBER(SEARCH("HORÁRIO",UPPER(D67))),ISNUMBER(SEARCH("TARDE",UPPER(D67))),ISNUMBER(SEARCH("CORREIOS",UPPER(D67))),ISNUMBER(SEARCH("MATERIAL",UPPER(D67))),ISNUMBER(SEARCH("REAGENDADA",UPPER(D67))),ISNUMBER(SEARCH("REAGENDADO",UPPER(D67))),ISNUMBER(SEARCH("ALLTECH",UPPER(D67))),ISNUMBER(SEARCH("MA",UPPER(D67))),ISNUMBER(SEARCH("SEFAZ",UPPER(D67)))),"🟡 Acesso / MA / Logística",
IF(OR(ISNUMBER(SEARCH("FINALIZADO",UPPER(D67))),ISNUMBER(SEARCH("FINALIZADA",UPPER(D67))),ISNUMBER(SEARCH("MIGRADA",UPPER(D67)))),"✅ Concluído",
"A Verificar")))))))</f>
        <v>🟡 Acesso / MA / Logística</v>
      </c>
      <c r="F67" s="10">
        <v>45803</v>
      </c>
      <c r="G67" s="11" t="s">
        <v>15</v>
      </c>
      <c r="H67" s="11" t="str">
        <f t="shared" ref="H67:H70" si="6">IF(G67="","",IF(AND(OR(ISNUMBER(SEARCH("TELEBRAS",UPPER(G67))),ISNUMBER(SEARCH("TLB",UPPER(G67))),ISNUMBER(SEARCH("LINK",UPPER(G67))),ISNUMBER(SEARCH("ROTA",UPPER(G67))),ISNUMBER(SEARCH("ENERGIA",UPPER(G67)))),OR(ISNUMBER(SEARCH("MVC",UPPER(G67))),ISNUMBER(SEARCH("FOTOS",UPPER(G67))),ISNUMBER(SEARCH("DOC",UPPER(G67))),ISNUMBER(SEARCH("TERMO",UPPER(G67))),ISNUMBER(SEARCH("CORREÇÃO",UPPER(G67))),ISNUMBER(SEARCH("CORRECAO",UPPER(G67))))),"🔴🟠 Misto (Telebras + MVC)",
 IF(OR(ISNUMBER(SEARCH("TELEBRAS",UPPER(G67))),ISNUMBER(SEARCH("TLB",UPPER(G67))),ISNUMBER(SEARCH("LINK",UPPER(G67))),ISNUMBER(SEARCH("ROTA",UPPER(G67))),ISNUMBER(SEARCH("ENERGIA",UPPER(G67)))),"🔴 Infraestrutura (Telebras)",
 IF(OR(ISNUMBER(SEARCH("MVC",UPPER(G67))),ISNUMBER(SEARCH("FOTOS",UPPER(G67))),ISNUMBER(SEARCH("DOC",UPPER(G67))),ISNUMBER(SEARCH("TERMO",UPPER(G67))),ISNUMBER(SEARCH("CORREÇÃO",UPPER(G67))),ISNUMBER(SEARCH("CORRECAO",UPPER(G67)))),"🟠 Pendência Operacional (MVC)",
 IF(OR(ISNUMBER(SEARCH("FECHADO",UPPER(G67))),ISNUMBER(SEARCH("HORÁRIO",UPPER(G67))),ISNUMBER(SEARCH("TARDE",UPPER(G67))),ISNUMBER(SEARCH("CORREIOS",UPPER(G67))),ISNUMBER(SEARCH("MATERIAL",UPPER(G67))),ISNUMBER(SEARCH("REAGENDADA",UPPER(G67))),ISNUMBER(SEARCH("REAGENDADO",UPPER(G67))),ISNUMBER(SEARCH("ALLTECH",UPPER(G67))),ISNUMBER(SEARCH("MA",UPPER(G67))),ISNUMBER(SEARCH("SEFAZ",UPPER(G67)))),"🟡 Acesso / MA / Logística",
 IF(OR(ISNUMBER(SEARCH("FINALIZADO",UPPER(G67))),ISNUMBER(SEARCH("FINALIZADA",UPPER(G67))),ISNUMBER(SEARCH("MIGRADA",UPPER(G67)))),"✅ Concluído",
 "Outros / A Verificar"))))))</f>
        <v>✅ Concluído</v>
      </c>
      <c r="I67" s="10"/>
      <c r="J67" s="11"/>
      <c r="K67" s="11" t="str">
        <f t="shared" si="4"/>
        <v/>
      </c>
      <c r="L67" s="11"/>
      <c r="M67" s="11"/>
    </row>
    <row r="68" spans="1:13" hidden="1" x14ac:dyDescent="0.25">
      <c r="A68" s="6" t="s">
        <v>152</v>
      </c>
      <c r="B68" s="7" t="s">
        <v>153</v>
      </c>
      <c r="C68" s="8">
        <v>45821</v>
      </c>
      <c r="D68" s="11" t="s">
        <v>869</v>
      </c>
      <c r="E68" s="9" t="str">
        <f t="shared" si="5"/>
        <v>🔴 Infraestrutura (Telebras)</v>
      </c>
      <c r="F68" s="10">
        <v>45876</v>
      </c>
      <c r="G68" s="11" t="s">
        <v>15</v>
      </c>
      <c r="H68" s="11" t="str">
        <f t="shared" si="6"/>
        <v>✅ Concluído</v>
      </c>
      <c r="I68" s="10"/>
      <c r="J68" s="11"/>
      <c r="K68" s="11" t="str">
        <f t="shared" si="4"/>
        <v/>
      </c>
      <c r="L68" s="11"/>
      <c r="M68" s="11"/>
    </row>
    <row r="69" spans="1:13" hidden="1" x14ac:dyDescent="0.25">
      <c r="A69" s="6" t="s">
        <v>154</v>
      </c>
      <c r="B69" s="7" t="s">
        <v>155</v>
      </c>
      <c r="C69" s="8">
        <v>45833</v>
      </c>
      <c r="D69" s="11" t="s">
        <v>859</v>
      </c>
      <c r="E69" s="9" t="str">
        <f t="shared" si="5"/>
        <v>🔴 Infraestrutura (Telebras)</v>
      </c>
      <c r="F69" s="10">
        <v>45877</v>
      </c>
      <c r="G69" s="11" t="s">
        <v>15</v>
      </c>
      <c r="H69" s="11" t="str">
        <f t="shared" si="6"/>
        <v>✅ Concluído</v>
      </c>
      <c r="I69" s="10"/>
      <c r="J69" s="11"/>
      <c r="K69" s="11" t="str">
        <f t="shared" si="4"/>
        <v/>
      </c>
      <c r="L69" s="11"/>
      <c r="M69" s="11"/>
    </row>
    <row r="70" spans="1:13" hidden="1" x14ac:dyDescent="0.25">
      <c r="A70" s="6" t="s">
        <v>156</v>
      </c>
      <c r="B70" s="7" t="s">
        <v>157</v>
      </c>
      <c r="C70" s="8">
        <v>45782</v>
      </c>
      <c r="D70" s="11" t="s">
        <v>14</v>
      </c>
      <c r="E70" s="9" t="str">
        <f t="shared" si="5"/>
        <v>🟠 Pendência Operacional (MVC)</v>
      </c>
      <c r="F70" s="10">
        <v>45910</v>
      </c>
      <c r="G70" s="11" t="s">
        <v>15</v>
      </c>
      <c r="H70" s="11" t="str">
        <f t="shared" si="6"/>
        <v>✅ Concluído</v>
      </c>
      <c r="I70" s="10"/>
      <c r="J70" s="11"/>
      <c r="K70" s="11" t="str">
        <f t="shared" si="4"/>
        <v/>
      </c>
      <c r="L70" s="11"/>
      <c r="M70" s="11"/>
    </row>
    <row r="71" spans="1:13" hidden="1" x14ac:dyDescent="0.25">
      <c r="A71" s="6" t="s">
        <v>156</v>
      </c>
      <c r="B71" s="7" t="s">
        <v>158</v>
      </c>
      <c r="C71" s="8">
        <v>45818</v>
      </c>
      <c r="D71" s="11" t="s">
        <v>159</v>
      </c>
      <c r="E71" s="9" t="str">
        <f t="shared" si="5"/>
        <v>🔴 Infraestrutura (Telebras)</v>
      </c>
      <c r="F71" s="10"/>
      <c r="G71" s="11"/>
      <c r="H71" s="11" t="str">
        <f t="shared" si="3"/>
        <v/>
      </c>
      <c r="I71" s="10"/>
      <c r="J71" s="11"/>
      <c r="K71" s="11" t="str">
        <f t="shared" si="4"/>
        <v/>
      </c>
      <c r="L71" s="11"/>
      <c r="M71" s="11"/>
    </row>
    <row r="72" spans="1:13" hidden="1" x14ac:dyDescent="0.25">
      <c r="A72" s="6" t="s">
        <v>160</v>
      </c>
      <c r="B72" s="7" t="s">
        <v>161</v>
      </c>
      <c r="C72" s="8">
        <v>45817</v>
      </c>
      <c r="D72" s="11" t="s">
        <v>859</v>
      </c>
      <c r="E72" s="9" t="str">
        <f t="shared" si="5"/>
        <v>🔴 Infraestrutura (Telebras)</v>
      </c>
      <c r="F72" s="10">
        <v>45875</v>
      </c>
      <c r="G72" s="11" t="s">
        <v>15</v>
      </c>
      <c r="H72" s="11" t="str">
        <f>IF(G72="","",IF(AND(OR(ISNUMBER(SEARCH("TELEBRAS",UPPER(G72))),ISNUMBER(SEARCH("TLB",UPPER(G72))),ISNUMBER(SEARCH("LINK",UPPER(G72))),ISNUMBER(SEARCH("ROTA",UPPER(G72))),ISNUMBER(SEARCH("ENERGIA",UPPER(G72)))),OR(ISNUMBER(SEARCH("MVC",UPPER(G72))),ISNUMBER(SEARCH("FOTOS",UPPER(G72))),ISNUMBER(SEARCH("DOC",UPPER(G72))),ISNUMBER(SEARCH("TERMO",UPPER(G72))),ISNUMBER(SEARCH("CORREÇÃO",UPPER(G72))),ISNUMBER(SEARCH("CORRECAO",UPPER(G72))))),"🔴🟠 Misto (Telebras + MVC)",
 IF(OR(ISNUMBER(SEARCH("TELEBRAS",UPPER(G72))),ISNUMBER(SEARCH("TLB",UPPER(G72))),ISNUMBER(SEARCH("LINK",UPPER(G72))),ISNUMBER(SEARCH("ROTA",UPPER(G72))),ISNUMBER(SEARCH("ENERGIA",UPPER(G72)))),"🔴 Infraestrutura (Telebras)",
 IF(OR(ISNUMBER(SEARCH("MVC",UPPER(G72))),ISNUMBER(SEARCH("FOTOS",UPPER(G72))),ISNUMBER(SEARCH("DOC",UPPER(G72))),ISNUMBER(SEARCH("TERMO",UPPER(G72))),ISNUMBER(SEARCH("CORREÇÃO",UPPER(G72))),ISNUMBER(SEARCH("CORRECAO",UPPER(G72)))),"🟠 Pendência Operacional (MVC)",
 IF(OR(ISNUMBER(SEARCH("FECHADO",UPPER(G72))),ISNUMBER(SEARCH("HORÁRIO",UPPER(G72))),ISNUMBER(SEARCH("TARDE",UPPER(G72))),ISNUMBER(SEARCH("CORREIOS",UPPER(G72))),ISNUMBER(SEARCH("MATERIAL",UPPER(G72))),ISNUMBER(SEARCH("REAGENDADA",UPPER(G72))),ISNUMBER(SEARCH("REAGENDADO",UPPER(G72))),ISNUMBER(SEARCH("ALLTECH",UPPER(G72))),ISNUMBER(SEARCH("MA",UPPER(G72))),ISNUMBER(SEARCH("SEFAZ",UPPER(G72)))),"🟡 Acesso / MA / Logística",
 IF(OR(ISNUMBER(SEARCH("FINALIZADO",UPPER(G72))),ISNUMBER(SEARCH("FINALIZADA",UPPER(G72))),ISNUMBER(SEARCH("MIGRADA",UPPER(G72)))),"✅ Concluído",
 "Outros / A Verificar"))))))</f>
        <v>✅ Concluído</v>
      </c>
      <c r="I72" s="10"/>
      <c r="J72" s="11"/>
      <c r="K72" s="11" t="str">
        <f t="shared" si="4"/>
        <v/>
      </c>
      <c r="L72" s="11"/>
      <c r="M72" s="11"/>
    </row>
    <row r="73" spans="1:13" hidden="1" x14ac:dyDescent="0.25">
      <c r="A73" s="6" t="s">
        <v>162</v>
      </c>
      <c r="B73" s="7" t="s">
        <v>163</v>
      </c>
      <c r="C73" s="8">
        <v>45874</v>
      </c>
      <c r="D73" s="11" t="s">
        <v>650</v>
      </c>
      <c r="E73" s="9" t="str">
        <f t="shared" si="5"/>
        <v>🔴 Infraestrutura (Telebras)</v>
      </c>
      <c r="F73" s="10"/>
      <c r="G73" s="11"/>
      <c r="H73" s="11" t="str">
        <f t="shared" si="3"/>
        <v/>
      </c>
      <c r="I73" s="10"/>
      <c r="J73" s="11"/>
      <c r="K73" s="11" t="str">
        <f t="shared" si="4"/>
        <v/>
      </c>
      <c r="L73" s="11"/>
      <c r="M73" s="11"/>
    </row>
    <row r="74" spans="1:13" hidden="1" x14ac:dyDescent="0.25">
      <c r="A74" s="6" t="s">
        <v>164</v>
      </c>
      <c r="B74" s="7" t="s">
        <v>165</v>
      </c>
      <c r="C74" s="8">
        <v>45803</v>
      </c>
      <c r="D74" s="11" t="s">
        <v>15</v>
      </c>
      <c r="E74" s="9" t="str">
        <f t="shared" si="5"/>
        <v>✅ Concluído</v>
      </c>
      <c r="F74" s="10"/>
      <c r="G74" s="11"/>
      <c r="H74" s="11" t="str">
        <f t="shared" si="3"/>
        <v/>
      </c>
      <c r="I74" s="10"/>
      <c r="J74" s="11"/>
      <c r="K74" s="11" t="str">
        <f t="shared" si="4"/>
        <v/>
      </c>
      <c r="L74" s="11"/>
      <c r="M74" s="11"/>
    </row>
    <row r="75" spans="1:13" hidden="1" x14ac:dyDescent="0.25">
      <c r="A75" s="6" t="s">
        <v>166</v>
      </c>
      <c r="B75" s="7" t="s">
        <v>167</v>
      </c>
      <c r="C75" s="8">
        <v>45814</v>
      </c>
      <c r="D75" s="11" t="s">
        <v>650</v>
      </c>
      <c r="E75" s="9" t="str">
        <f t="shared" si="5"/>
        <v>🔴 Infraestrutura (Telebras)</v>
      </c>
      <c r="F75" s="10"/>
      <c r="G75" s="11"/>
      <c r="H75" s="11" t="str">
        <f t="shared" si="3"/>
        <v/>
      </c>
      <c r="I75" s="10"/>
      <c r="J75" s="11"/>
      <c r="K75" s="11" t="str">
        <f t="shared" si="4"/>
        <v/>
      </c>
      <c r="L75" s="11"/>
      <c r="M75" s="11"/>
    </row>
    <row r="76" spans="1:13" hidden="1" x14ac:dyDescent="0.25">
      <c r="A76" s="6" t="s">
        <v>169</v>
      </c>
      <c r="B76" s="7" t="s">
        <v>170</v>
      </c>
      <c r="C76" s="8">
        <v>45834</v>
      </c>
      <c r="D76" s="11" t="s">
        <v>15</v>
      </c>
      <c r="E76" s="9" t="str">
        <f t="shared" si="5"/>
        <v>✅ Concluído</v>
      </c>
      <c r="F76" s="10"/>
      <c r="G76" s="11"/>
      <c r="H76" s="11" t="str">
        <f t="shared" si="3"/>
        <v/>
      </c>
      <c r="I76" s="10"/>
      <c r="J76" s="11"/>
      <c r="K76" s="11" t="str">
        <f t="shared" si="4"/>
        <v/>
      </c>
      <c r="L76" s="11"/>
      <c r="M76" s="11"/>
    </row>
    <row r="77" spans="1:13" hidden="1" x14ac:dyDescent="0.25">
      <c r="A77" s="6" t="s">
        <v>171</v>
      </c>
      <c r="B77" s="7" t="s">
        <v>172</v>
      </c>
      <c r="C77" s="8">
        <v>45819</v>
      </c>
      <c r="D77" s="11" t="s">
        <v>15</v>
      </c>
      <c r="E77" s="9" t="str">
        <f t="shared" si="5"/>
        <v>✅ Concluído</v>
      </c>
      <c r="F77" s="10"/>
      <c r="G77" s="11"/>
      <c r="H77" s="11" t="str">
        <f t="shared" si="3"/>
        <v/>
      </c>
      <c r="I77" s="10"/>
      <c r="J77" s="11"/>
      <c r="K77" s="11" t="str">
        <f t="shared" si="4"/>
        <v/>
      </c>
      <c r="L77" s="11"/>
      <c r="M77" s="11"/>
    </row>
    <row r="78" spans="1:13" hidden="1" x14ac:dyDescent="0.25">
      <c r="A78" s="6" t="s">
        <v>173</v>
      </c>
      <c r="B78" s="7" t="s">
        <v>174</v>
      </c>
      <c r="C78" s="8">
        <v>45803</v>
      </c>
      <c r="D78" s="11" t="s">
        <v>15</v>
      </c>
      <c r="E78" s="9" t="str">
        <f t="shared" si="5"/>
        <v>✅ Concluído</v>
      </c>
      <c r="F78" s="10"/>
      <c r="G78" s="11"/>
      <c r="H78" s="11" t="str">
        <f t="shared" si="3"/>
        <v/>
      </c>
      <c r="I78" s="10"/>
      <c r="J78" s="11"/>
      <c r="K78" s="11" t="str">
        <f t="shared" si="4"/>
        <v/>
      </c>
      <c r="L78" s="11"/>
      <c r="M78" s="11"/>
    </row>
    <row r="79" spans="1:13" hidden="1" x14ac:dyDescent="0.25">
      <c r="A79" s="6" t="s">
        <v>175</v>
      </c>
      <c r="B79" s="7" t="s">
        <v>176</v>
      </c>
      <c r="C79" s="8">
        <v>45859</v>
      </c>
      <c r="D79" s="11" t="s">
        <v>650</v>
      </c>
      <c r="E79" s="9" t="str">
        <f t="shared" si="5"/>
        <v>🔴 Infraestrutura (Telebras)</v>
      </c>
      <c r="F79" s="10">
        <v>45923</v>
      </c>
      <c r="G79" s="11" t="s">
        <v>15</v>
      </c>
      <c r="H79" s="11" t="str">
        <f>IF(G79="","",IF(AND(OR(ISNUMBER(SEARCH("TELEBRAS",UPPER(G79))),ISNUMBER(SEARCH("TLB",UPPER(G79))),ISNUMBER(SEARCH("LINK",UPPER(G79))),ISNUMBER(SEARCH("ROTA",UPPER(G79))),ISNUMBER(SEARCH("ENERGIA",UPPER(G79)))),OR(ISNUMBER(SEARCH("MVC",UPPER(G79))),ISNUMBER(SEARCH("FOTOS",UPPER(G79))),ISNUMBER(SEARCH("DOC",UPPER(G79))),ISNUMBER(SEARCH("TERMO",UPPER(G79))),ISNUMBER(SEARCH("CORREÇÃO",UPPER(G79))),ISNUMBER(SEARCH("CORRECAO",UPPER(G79))))),"🔴🟠 Misto (Telebras + MVC)",
 IF(OR(ISNUMBER(SEARCH("TELEBRAS",UPPER(G79))),ISNUMBER(SEARCH("TLB",UPPER(G79))),ISNUMBER(SEARCH("LINK",UPPER(G79))),ISNUMBER(SEARCH("ROTA",UPPER(G79))),ISNUMBER(SEARCH("ENERGIA",UPPER(G79)))),"🔴 Infraestrutura (Telebras)",
 IF(OR(ISNUMBER(SEARCH("MVC",UPPER(G79))),ISNUMBER(SEARCH("FOTOS",UPPER(G79))),ISNUMBER(SEARCH("DOC",UPPER(G79))),ISNUMBER(SEARCH("TERMO",UPPER(G79))),ISNUMBER(SEARCH("CORREÇÃO",UPPER(G79))),ISNUMBER(SEARCH("CORRECAO",UPPER(G79)))),"🟠 Pendência Operacional (MVC)",
 IF(OR(ISNUMBER(SEARCH("FECHADO",UPPER(G79))),ISNUMBER(SEARCH("HORÁRIO",UPPER(G79))),ISNUMBER(SEARCH("TARDE",UPPER(G79))),ISNUMBER(SEARCH("CORREIOS",UPPER(G79))),ISNUMBER(SEARCH("MATERIAL",UPPER(G79))),ISNUMBER(SEARCH("REAGENDADA",UPPER(G79))),ISNUMBER(SEARCH("REAGENDADO",UPPER(G79))),ISNUMBER(SEARCH("ALLTECH",UPPER(G79))),ISNUMBER(SEARCH("MA",UPPER(G79))),ISNUMBER(SEARCH("SEFAZ",UPPER(G79)))),"🟡 Acesso / MA / Logística",
 IF(OR(ISNUMBER(SEARCH("FINALIZADO",UPPER(G79))),ISNUMBER(SEARCH("FINALIZADA",UPPER(G79))),ISNUMBER(SEARCH("MIGRADA",UPPER(G79)))),"✅ Concluído",
 "Outros / A Verificar"))))))</f>
        <v>✅ Concluído</v>
      </c>
      <c r="I79" s="10"/>
      <c r="J79" s="11"/>
      <c r="K79" s="11" t="str">
        <f t="shared" si="4"/>
        <v/>
      </c>
      <c r="L79" s="11"/>
      <c r="M79" s="11"/>
    </row>
    <row r="80" spans="1:13" hidden="1" x14ac:dyDescent="0.25">
      <c r="A80" s="6" t="s">
        <v>177</v>
      </c>
      <c r="B80" s="7" t="s">
        <v>178</v>
      </c>
      <c r="C80" s="8">
        <v>45833</v>
      </c>
      <c r="D80" s="9" t="s">
        <v>863</v>
      </c>
      <c r="E80" s="9" t="str">
        <f t="shared" si="5"/>
        <v>CANCELADO</v>
      </c>
      <c r="F80" s="10"/>
      <c r="G80" s="12"/>
      <c r="H80" s="11" t="str">
        <f t="shared" si="3"/>
        <v/>
      </c>
      <c r="I80" s="10"/>
      <c r="J80" s="11"/>
      <c r="K80" s="11" t="str">
        <f t="shared" si="4"/>
        <v/>
      </c>
      <c r="L80" s="11"/>
      <c r="M80" s="11"/>
    </row>
    <row r="81" spans="1:13" hidden="1" x14ac:dyDescent="0.25">
      <c r="A81" s="6" t="s">
        <v>179</v>
      </c>
      <c r="B81" s="7" t="s">
        <v>180</v>
      </c>
      <c r="C81" s="8">
        <v>45811</v>
      </c>
      <c r="D81" s="11" t="s">
        <v>15</v>
      </c>
      <c r="E81" s="9" t="str">
        <f t="shared" si="5"/>
        <v>✅ Concluído</v>
      </c>
      <c r="F81" s="10"/>
      <c r="G81" s="11"/>
      <c r="H81" s="11" t="str">
        <f t="shared" si="3"/>
        <v/>
      </c>
      <c r="I81" s="10"/>
      <c r="J81" s="11"/>
      <c r="K81" s="11" t="str">
        <f t="shared" si="4"/>
        <v/>
      </c>
      <c r="L81" s="11"/>
      <c r="M81" s="11"/>
    </row>
    <row r="82" spans="1:13" hidden="1" x14ac:dyDescent="0.25">
      <c r="A82" s="6" t="s">
        <v>181</v>
      </c>
      <c r="B82" s="7" t="s">
        <v>182</v>
      </c>
      <c r="C82" s="8">
        <v>45786</v>
      </c>
      <c r="D82" s="11" t="s">
        <v>15</v>
      </c>
      <c r="E82" s="9" t="str">
        <f t="shared" si="5"/>
        <v>✅ Concluído</v>
      </c>
      <c r="F82" s="10"/>
      <c r="G82" s="11"/>
      <c r="H82" s="11" t="str">
        <f t="shared" si="3"/>
        <v/>
      </c>
      <c r="I82" s="10"/>
      <c r="J82" s="11"/>
      <c r="K82" s="11" t="str">
        <f t="shared" si="4"/>
        <v/>
      </c>
      <c r="L82" s="11"/>
      <c r="M82" s="11"/>
    </row>
    <row r="83" spans="1:13" hidden="1" x14ac:dyDescent="0.25">
      <c r="A83" s="6" t="s">
        <v>183</v>
      </c>
      <c r="B83" s="7" t="s">
        <v>184</v>
      </c>
      <c r="C83" s="8">
        <v>45813</v>
      </c>
      <c r="D83" s="11" t="s">
        <v>15</v>
      </c>
      <c r="E83" s="9" t="str">
        <f t="shared" si="5"/>
        <v>✅ Concluído</v>
      </c>
      <c r="F83" s="10"/>
      <c r="G83" s="11"/>
      <c r="H83" s="11" t="str">
        <f t="shared" si="3"/>
        <v/>
      </c>
      <c r="I83" s="10"/>
      <c r="J83" s="11"/>
      <c r="K83" s="11" t="str">
        <f t="shared" si="4"/>
        <v/>
      </c>
      <c r="L83" s="11"/>
      <c r="M83" s="11"/>
    </row>
    <row r="84" spans="1:13" hidden="1" x14ac:dyDescent="0.25">
      <c r="A84" s="6" t="s">
        <v>185</v>
      </c>
      <c r="B84" s="7" t="s">
        <v>186</v>
      </c>
      <c r="C84" s="8">
        <v>45852</v>
      </c>
      <c r="D84" s="11" t="s">
        <v>15</v>
      </c>
      <c r="E84" s="9" t="str">
        <f t="shared" si="5"/>
        <v>✅ Concluído</v>
      </c>
      <c r="F84" s="10"/>
      <c r="G84" s="11"/>
      <c r="H84" s="11" t="str">
        <f t="shared" si="3"/>
        <v/>
      </c>
      <c r="I84" s="10"/>
      <c r="J84" s="11"/>
      <c r="K84" s="11" t="str">
        <f t="shared" si="4"/>
        <v/>
      </c>
      <c r="L84" s="11"/>
      <c r="M84" s="11"/>
    </row>
    <row r="85" spans="1:13" hidden="1" x14ac:dyDescent="0.25">
      <c r="A85" s="6" t="s">
        <v>187</v>
      </c>
      <c r="B85" s="7" t="s">
        <v>188</v>
      </c>
      <c r="C85" s="8">
        <v>45810</v>
      </c>
      <c r="D85" s="11" t="s">
        <v>650</v>
      </c>
      <c r="E85" s="9" t="str">
        <f t="shared" si="5"/>
        <v>🔴 Infraestrutura (Telebras)</v>
      </c>
      <c r="F85" s="10">
        <v>45944</v>
      </c>
      <c r="G85" s="11" t="s">
        <v>15</v>
      </c>
      <c r="H85" s="11" t="str">
        <f>IF(G85="","",IF(AND(OR(ISNUMBER(SEARCH("TELEBRAS",UPPER(G85))),ISNUMBER(SEARCH("TLB",UPPER(G85))),ISNUMBER(SEARCH("LINK",UPPER(G85))),ISNUMBER(SEARCH("ROTA",UPPER(G85))),ISNUMBER(SEARCH("ENERGIA",UPPER(G85)))),OR(ISNUMBER(SEARCH("MVC",UPPER(G85))),ISNUMBER(SEARCH("FOTOS",UPPER(G85))),ISNUMBER(SEARCH("DOC",UPPER(G85))),ISNUMBER(SEARCH("TERMO",UPPER(G85))),ISNUMBER(SEARCH("CORREÇÃO",UPPER(G85))),ISNUMBER(SEARCH("CORRECAO",UPPER(G85))))),"🔴🟠 Misto (Telebras + MVC)",
 IF(OR(ISNUMBER(SEARCH("TELEBRAS",UPPER(G85))),ISNUMBER(SEARCH("TLB",UPPER(G85))),ISNUMBER(SEARCH("LINK",UPPER(G85))),ISNUMBER(SEARCH("ROTA",UPPER(G85))),ISNUMBER(SEARCH("ENERGIA",UPPER(G85)))),"🔴 Infraestrutura (Telebras)",
 IF(OR(ISNUMBER(SEARCH("MVC",UPPER(G85))),ISNUMBER(SEARCH("FOTOS",UPPER(G85))),ISNUMBER(SEARCH("DOC",UPPER(G85))),ISNUMBER(SEARCH("TERMO",UPPER(G85))),ISNUMBER(SEARCH("CORREÇÃO",UPPER(G85))),ISNUMBER(SEARCH("CORRECAO",UPPER(G85)))),"🟠 Pendência Operacional (MVC)",
 IF(OR(ISNUMBER(SEARCH("FECHADO",UPPER(G85))),ISNUMBER(SEARCH("HORÁRIO",UPPER(G85))),ISNUMBER(SEARCH("TARDE",UPPER(G85))),ISNUMBER(SEARCH("CORREIOS",UPPER(G85))),ISNUMBER(SEARCH("MATERIAL",UPPER(G85))),ISNUMBER(SEARCH("REAGENDADA",UPPER(G85))),ISNUMBER(SEARCH("REAGENDADO",UPPER(G85))),ISNUMBER(SEARCH("ALLTECH",UPPER(G85))),ISNUMBER(SEARCH("MA",UPPER(G85))),ISNUMBER(SEARCH("SEFAZ",UPPER(G85)))),"🟡 Acesso / MA / Logística",
 IF(OR(ISNUMBER(SEARCH("FINALIZADO",UPPER(G85))),ISNUMBER(SEARCH("FINALIZADA",UPPER(G85))),ISNUMBER(SEARCH("MIGRADA",UPPER(G85)))),"✅ Concluído",
 "Outros / A Verificar"))))))</f>
        <v>✅ Concluído</v>
      </c>
      <c r="I85" s="10"/>
      <c r="J85" s="11"/>
      <c r="K85" s="11" t="str">
        <f t="shared" si="4"/>
        <v/>
      </c>
      <c r="L85" s="11"/>
      <c r="M85" s="11"/>
    </row>
    <row r="86" spans="1:13" hidden="1" x14ac:dyDescent="0.25">
      <c r="A86" s="6" t="s">
        <v>189</v>
      </c>
      <c r="B86" s="7" t="s">
        <v>190</v>
      </c>
      <c r="C86" s="8">
        <v>45833</v>
      </c>
      <c r="D86" s="11" t="s">
        <v>879</v>
      </c>
      <c r="E86" s="9" t="str">
        <f t="shared" si="5"/>
        <v>🔴🟠 Misto (Telebras + MVC)</v>
      </c>
      <c r="F86" s="10"/>
      <c r="G86" s="11"/>
      <c r="H86" s="11" t="str">
        <f t="shared" si="3"/>
        <v/>
      </c>
      <c r="I86" s="10"/>
      <c r="J86" s="11"/>
      <c r="K86" s="11" t="str">
        <f t="shared" si="4"/>
        <v/>
      </c>
      <c r="L86" s="11"/>
      <c r="M86" s="11"/>
    </row>
    <row r="87" spans="1:13" hidden="1" x14ac:dyDescent="0.25">
      <c r="A87" s="6" t="s">
        <v>191</v>
      </c>
      <c r="B87" s="7" t="s">
        <v>192</v>
      </c>
      <c r="C87" s="8">
        <v>45831</v>
      </c>
      <c r="D87" s="11" t="s">
        <v>15</v>
      </c>
      <c r="E87" s="9" t="str">
        <f t="shared" si="5"/>
        <v>✅ Concluído</v>
      </c>
      <c r="F87" s="10"/>
      <c r="G87" s="11"/>
      <c r="H87" s="11" t="str">
        <f t="shared" si="3"/>
        <v/>
      </c>
      <c r="I87" s="10"/>
      <c r="J87" s="11"/>
      <c r="K87" s="11" t="str">
        <f t="shared" si="4"/>
        <v/>
      </c>
      <c r="L87" s="11"/>
      <c r="M87" s="11"/>
    </row>
    <row r="88" spans="1:13" ht="96" hidden="1" x14ac:dyDescent="0.25">
      <c r="A88" s="6" t="s">
        <v>193</v>
      </c>
      <c r="B88" s="7" t="s">
        <v>194</v>
      </c>
      <c r="C88" s="8">
        <v>45845</v>
      </c>
      <c r="D88" s="11" t="s">
        <v>846</v>
      </c>
      <c r="E88" s="9" t="str">
        <f t="shared" si="5"/>
        <v>🔴🟠 Misto (Telebras + MVC)</v>
      </c>
      <c r="F88" s="10">
        <v>45832</v>
      </c>
      <c r="G88" s="11" t="s">
        <v>845</v>
      </c>
      <c r="H88" s="11" t="str">
        <f t="shared" ref="H88:H96" si="7">IF(G88="","",IF(AND(OR(ISNUMBER(SEARCH("TELEBRAS",UPPER(G88))),ISNUMBER(SEARCH("TLB",UPPER(G88))),ISNUMBER(SEARCH("LINK",UPPER(G88))),ISNUMBER(SEARCH("ROTA",UPPER(G88))),ISNUMBER(SEARCH("ENERGIA",UPPER(G88)))),OR(ISNUMBER(SEARCH("MVC",UPPER(G88))),ISNUMBER(SEARCH("FOTOS",UPPER(G88))),ISNUMBER(SEARCH("DOC",UPPER(G88))),ISNUMBER(SEARCH("TERMO",UPPER(G88))),ISNUMBER(SEARCH("CORREÇÃO",UPPER(G88))),ISNUMBER(SEARCH("CORRECAO",UPPER(G88))))),"🔴🟠 Misto (Telebras + MVC)",
 IF(OR(ISNUMBER(SEARCH("TELEBRAS",UPPER(G88))),ISNUMBER(SEARCH("TLB",UPPER(G88))),ISNUMBER(SEARCH("LINK",UPPER(G88))),ISNUMBER(SEARCH("ROTA",UPPER(G88))),ISNUMBER(SEARCH("ENERGIA",UPPER(G88)))),"🔴 Infraestrutura (Telebras)",
 IF(OR(ISNUMBER(SEARCH("MVC",UPPER(G88))),ISNUMBER(SEARCH("FOTOS",UPPER(G88))),ISNUMBER(SEARCH("DOC",UPPER(G88))),ISNUMBER(SEARCH("TERMO",UPPER(G88))),ISNUMBER(SEARCH("CORREÇÃO",UPPER(G88))),ISNUMBER(SEARCH("CORRECAO",UPPER(G88)))),"🟠 Pendência Operacional (MVC)",
 IF(OR(ISNUMBER(SEARCH("FECHADO",UPPER(G88))),ISNUMBER(SEARCH("HORÁRIO",UPPER(G88))),ISNUMBER(SEARCH("TARDE",UPPER(G88))),ISNUMBER(SEARCH("CORREIOS",UPPER(G88))),ISNUMBER(SEARCH("MATERIAL",UPPER(G88))),ISNUMBER(SEARCH("REAGENDADA",UPPER(G88))),ISNUMBER(SEARCH("REAGENDADO",UPPER(G88))),ISNUMBER(SEARCH("ALLTECH",UPPER(G88))),ISNUMBER(SEARCH("MA",UPPER(G88))),ISNUMBER(SEARCH("SEFAZ",UPPER(G88)))),"🟡 Acesso / MA / Logística",
 IF(OR(ISNUMBER(SEARCH("FINALIZADO",UPPER(G88))),ISNUMBER(SEARCH("FINALIZADA",UPPER(G88))),ISNUMBER(SEARCH("MIGRADA",UPPER(G88)))),"✅ Concluído",
 "Outros / A Verificar"))))))</f>
        <v>🔴🟠 Misto (Telebras + MVC)</v>
      </c>
      <c r="I88" s="10">
        <v>45909</v>
      </c>
      <c r="J88" s="11" t="s">
        <v>15</v>
      </c>
      <c r="K88" s="11" t="str">
        <f t="shared" si="4"/>
        <v>✅ Concluído</v>
      </c>
      <c r="L88" s="11"/>
      <c r="M88" s="11"/>
    </row>
    <row r="89" spans="1:13" ht="24" hidden="1" x14ac:dyDescent="0.25">
      <c r="A89" s="6" t="s">
        <v>196</v>
      </c>
      <c r="B89" s="7" t="s">
        <v>197</v>
      </c>
      <c r="C89" s="8">
        <v>45860</v>
      </c>
      <c r="D89" s="11" t="s">
        <v>198</v>
      </c>
      <c r="E89" s="9" t="str">
        <f t="shared" si="5"/>
        <v>🔴 Infraestrutura (Telebras)</v>
      </c>
      <c r="F89" s="10">
        <v>45869</v>
      </c>
      <c r="G89" s="11" t="s">
        <v>860</v>
      </c>
      <c r="H89" s="11" t="str">
        <f t="shared" si="7"/>
        <v>🟠 Pendência Operacional (MVC)</v>
      </c>
      <c r="I89" s="10"/>
      <c r="J89" s="11"/>
      <c r="K89" s="11" t="str">
        <f t="shared" si="4"/>
        <v/>
      </c>
      <c r="L89" s="11"/>
      <c r="M89" s="11"/>
    </row>
    <row r="90" spans="1:13" hidden="1" x14ac:dyDescent="0.25">
      <c r="A90" s="6" t="s">
        <v>199</v>
      </c>
      <c r="B90" s="7" t="s">
        <v>200</v>
      </c>
      <c r="C90" s="8">
        <v>45811</v>
      </c>
      <c r="D90" s="11" t="s">
        <v>650</v>
      </c>
      <c r="E90" s="9" t="str">
        <f t="shared" si="5"/>
        <v>🔴 Infraestrutura (Telebras)</v>
      </c>
      <c r="F90" s="10">
        <v>45847</v>
      </c>
      <c r="G90" s="11" t="s">
        <v>15</v>
      </c>
      <c r="H90" s="11" t="str">
        <f t="shared" si="7"/>
        <v>✅ Concluído</v>
      </c>
      <c r="I90" s="10"/>
      <c r="J90" s="11"/>
      <c r="K90" s="11" t="str">
        <f t="shared" si="4"/>
        <v/>
      </c>
      <c r="L90" s="11"/>
      <c r="M90" s="11"/>
    </row>
    <row r="91" spans="1:13" hidden="1" x14ac:dyDescent="0.25">
      <c r="A91" s="6" t="s">
        <v>201</v>
      </c>
      <c r="B91" s="7" t="s">
        <v>202</v>
      </c>
      <c r="C91" s="8">
        <v>45813</v>
      </c>
      <c r="D91" s="11" t="s">
        <v>203</v>
      </c>
      <c r="E91" s="9" t="str">
        <f t="shared" si="5"/>
        <v>🔴 Infraestrutura (Telebras)</v>
      </c>
      <c r="F91" s="10">
        <v>45818</v>
      </c>
      <c r="G91" s="11" t="s">
        <v>204</v>
      </c>
      <c r="H91" s="11" t="str">
        <f t="shared" si="7"/>
        <v>🔴 Infraestrutura (Telebras)</v>
      </c>
      <c r="I91" s="10"/>
      <c r="J91" s="11"/>
      <c r="K91" s="11" t="str">
        <f t="shared" si="4"/>
        <v/>
      </c>
      <c r="L91" s="11"/>
      <c r="M91" s="11"/>
    </row>
    <row r="92" spans="1:13" hidden="1" x14ac:dyDescent="0.25">
      <c r="A92" s="6" t="s">
        <v>205</v>
      </c>
      <c r="B92" s="7" t="s">
        <v>206</v>
      </c>
      <c r="C92" s="8">
        <v>45814</v>
      </c>
      <c r="D92" s="11" t="s">
        <v>650</v>
      </c>
      <c r="E92" s="9" t="str">
        <f t="shared" si="5"/>
        <v>🔴 Infraestrutura (Telebras)</v>
      </c>
      <c r="F92" s="10">
        <v>45944</v>
      </c>
      <c r="G92" s="11" t="s">
        <v>15</v>
      </c>
      <c r="H92" s="11" t="str">
        <f t="shared" si="7"/>
        <v>✅ Concluído</v>
      </c>
      <c r="I92" s="10"/>
      <c r="J92" s="11"/>
      <c r="K92" s="11" t="str">
        <f t="shared" si="4"/>
        <v/>
      </c>
      <c r="L92" s="11"/>
      <c r="M92" s="11"/>
    </row>
    <row r="93" spans="1:13" hidden="1" x14ac:dyDescent="0.25">
      <c r="A93" s="6" t="s">
        <v>207</v>
      </c>
      <c r="B93" s="7" t="s">
        <v>208</v>
      </c>
      <c r="C93" s="8">
        <v>45807</v>
      </c>
      <c r="D93" s="11" t="s">
        <v>14</v>
      </c>
      <c r="E93" s="9" t="str">
        <f t="shared" si="5"/>
        <v>🟠 Pendência Operacional (MVC)</v>
      </c>
      <c r="F93" s="10">
        <v>45943</v>
      </c>
      <c r="G93" s="11" t="s">
        <v>15</v>
      </c>
      <c r="H93" s="11" t="str">
        <f t="shared" si="7"/>
        <v>✅ Concluído</v>
      </c>
      <c r="I93" s="10"/>
      <c r="J93" s="11"/>
      <c r="K93" s="11" t="str">
        <f t="shared" si="4"/>
        <v/>
      </c>
      <c r="L93" s="11"/>
      <c r="M93" s="11"/>
    </row>
    <row r="94" spans="1:13" hidden="1" x14ac:dyDescent="0.25">
      <c r="A94" s="6" t="s">
        <v>209</v>
      </c>
      <c r="B94" s="7" t="s">
        <v>210</v>
      </c>
      <c r="C94" s="8">
        <v>45812</v>
      </c>
      <c r="D94" s="11" t="s">
        <v>650</v>
      </c>
      <c r="E94" s="9" t="str">
        <f t="shared" si="5"/>
        <v>🔴 Infraestrutura (Telebras)</v>
      </c>
      <c r="F94" s="10">
        <v>45846</v>
      </c>
      <c r="G94" s="11" t="s">
        <v>15</v>
      </c>
      <c r="H94" s="11" t="str">
        <f t="shared" si="7"/>
        <v>✅ Concluído</v>
      </c>
      <c r="I94" s="10"/>
      <c r="J94" s="11"/>
      <c r="K94" s="11" t="str">
        <f t="shared" si="4"/>
        <v/>
      </c>
      <c r="L94" s="11"/>
      <c r="M94" s="11"/>
    </row>
    <row r="95" spans="1:13" hidden="1" x14ac:dyDescent="0.25">
      <c r="A95" s="6" t="s">
        <v>211</v>
      </c>
      <c r="B95" s="7" t="s">
        <v>212</v>
      </c>
      <c r="C95" s="8">
        <v>45861</v>
      </c>
      <c r="D95" s="11" t="s">
        <v>650</v>
      </c>
      <c r="E95" s="9" t="str">
        <f t="shared" si="5"/>
        <v>🔴 Infraestrutura (Telebras)</v>
      </c>
      <c r="F95" s="10">
        <v>45902</v>
      </c>
      <c r="G95" s="11" t="s">
        <v>15</v>
      </c>
      <c r="H95" s="11" t="str">
        <f t="shared" si="7"/>
        <v>✅ Concluído</v>
      </c>
      <c r="I95" s="10"/>
      <c r="J95" s="11"/>
      <c r="K95" s="11" t="str">
        <f t="shared" si="4"/>
        <v/>
      </c>
      <c r="L95" s="11"/>
      <c r="M95" s="11"/>
    </row>
    <row r="96" spans="1:13" hidden="1" x14ac:dyDescent="0.25">
      <c r="A96" s="6" t="s">
        <v>213</v>
      </c>
      <c r="B96" s="7" t="s">
        <v>214</v>
      </c>
      <c r="C96" s="8">
        <v>45790</v>
      </c>
      <c r="D96" s="11" t="s">
        <v>14</v>
      </c>
      <c r="E96" s="9" t="str">
        <f t="shared" si="5"/>
        <v>🟠 Pendência Operacional (MVC)</v>
      </c>
      <c r="F96" s="10">
        <v>45910</v>
      </c>
      <c r="G96" s="11" t="s">
        <v>15</v>
      </c>
      <c r="H96" s="11" t="str">
        <f t="shared" si="7"/>
        <v>✅ Concluído</v>
      </c>
      <c r="I96" s="10"/>
      <c r="J96" s="11"/>
      <c r="K96" s="11" t="str">
        <f t="shared" si="4"/>
        <v/>
      </c>
      <c r="L96" s="11"/>
      <c r="M96" s="11"/>
    </row>
    <row r="97" spans="1:13" hidden="1" x14ac:dyDescent="0.25">
      <c r="A97" s="6" t="s">
        <v>215</v>
      </c>
      <c r="B97" s="7" t="s">
        <v>216</v>
      </c>
      <c r="C97" s="8">
        <v>45805</v>
      </c>
      <c r="D97" s="11" t="s">
        <v>15</v>
      </c>
      <c r="E97" s="9" t="str">
        <f t="shared" si="5"/>
        <v>✅ Concluído</v>
      </c>
      <c r="F97" s="13"/>
      <c r="G97" s="11"/>
      <c r="H97" s="11" t="str">
        <f t="shared" si="3"/>
        <v/>
      </c>
      <c r="I97" s="10"/>
      <c r="J97" s="11"/>
      <c r="K97" s="11" t="str">
        <f t="shared" si="4"/>
        <v/>
      </c>
      <c r="L97" s="11"/>
      <c r="M97" s="11"/>
    </row>
    <row r="98" spans="1:13" hidden="1" x14ac:dyDescent="0.25">
      <c r="A98" s="6" t="s">
        <v>217</v>
      </c>
      <c r="B98" s="7" t="s">
        <v>218</v>
      </c>
      <c r="C98" s="8">
        <v>45825</v>
      </c>
      <c r="D98" s="11" t="s">
        <v>14</v>
      </c>
      <c r="E98" s="9" t="str">
        <f t="shared" si="5"/>
        <v>🟠 Pendência Operacional (MVC)</v>
      </c>
      <c r="F98" s="10">
        <v>45923</v>
      </c>
      <c r="G98" s="11" t="s">
        <v>15</v>
      </c>
      <c r="H98" s="11" t="str">
        <f>IF(G98="","",IF(AND(OR(ISNUMBER(SEARCH("TELEBRAS",UPPER(G98))),ISNUMBER(SEARCH("TLB",UPPER(G98))),ISNUMBER(SEARCH("LINK",UPPER(G98))),ISNUMBER(SEARCH("ROTA",UPPER(G98))),ISNUMBER(SEARCH("ENERGIA",UPPER(G98)))),OR(ISNUMBER(SEARCH("MVC",UPPER(G98))),ISNUMBER(SEARCH("FOTOS",UPPER(G98))),ISNUMBER(SEARCH("DOC",UPPER(G98))),ISNUMBER(SEARCH("TERMO",UPPER(G98))),ISNUMBER(SEARCH("CORREÇÃO",UPPER(G98))),ISNUMBER(SEARCH("CORRECAO",UPPER(G98))))),"🔴🟠 Misto (Telebras + MVC)",
 IF(OR(ISNUMBER(SEARCH("TELEBRAS",UPPER(G98))),ISNUMBER(SEARCH("TLB",UPPER(G98))),ISNUMBER(SEARCH("LINK",UPPER(G98))),ISNUMBER(SEARCH("ROTA",UPPER(G98))),ISNUMBER(SEARCH("ENERGIA",UPPER(G98)))),"🔴 Infraestrutura (Telebras)",
 IF(OR(ISNUMBER(SEARCH("MVC",UPPER(G98))),ISNUMBER(SEARCH("FOTOS",UPPER(G98))),ISNUMBER(SEARCH("DOC",UPPER(G98))),ISNUMBER(SEARCH("TERMO",UPPER(G98))),ISNUMBER(SEARCH("CORREÇÃO",UPPER(G98))),ISNUMBER(SEARCH("CORRECAO",UPPER(G98)))),"🟠 Pendência Operacional (MVC)",
 IF(OR(ISNUMBER(SEARCH("FECHADO",UPPER(G98))),ISNUMBER(SEARCH("HORÁRIO",UPPER(G98))),ISNUMBER(SEARCH("TARDE",UPPER(G98))),ISNUMBER(SEARCH("CORREIOS",UPPER(G98))),ISNUMBER(SEARCH("MATERIAL",UPPER(G98))),ISNUMBER(SEARCH("REAGENDADA",UPPER(G98))),ISNUMBER(SEARCH("REAGENDADO",UPPER(G98))),ISNUMBER(SEARCH("ALLTECH",UPPER(G98))),ISNUMBER(SEARCH("MA",UPPER(G98))),ISNUMBER(SEARCH("SEFAZ",UPPER(G98)))),"🟡 Acesso / MA / Logística",
 IF(OR(ISNUMBER(SEARCH("FINALIZADO",UPPER(G98))),ISNUMBER(SEARCH("FINALIZADA",UPPER(G98))),ISNUMBER(SEARCH("MIGRADA",UPPER(G98)))),"✅ Concluído",
 "Outros / A Verificar"))))))</f>
        <v>✅ Concluído</v>
      </c>
      <c r="I98" s="10"/>
      <c r="J98" s="11"/>
      <c r="K98" s="11" t="str">
        <f t="shared" si="4"/>
        <v/>
      </c>
      <c r="L98" s="11"/>
      <c r="M98" s="11"/>
    </row>
    <row r="99" spans="1:13" hidden="1" x14ac:dyDescent="0.25">
      <c r="A99" s="6" t="s">
        <v>219</v>
      </c>
      <c r="B99" s="7" t="s">
        <v>220</v>
      </c>
      <c r="C99" s="8">
        <v>45831</v>
      </c>
      <c r="D99" s="11" t="s">
        <v>15</v>
      </c>
      <c r="E99" s="9" t="str">
        <f t="shared" si="5"/>
        <v>✅ Concluído</v>
      </c>
      <c r="F99" s="10"/>
      <c r="G99" s="11"/>
      <c r="H99" s="11" t="str">
        <f t="shared" si="3"/>
        <v/>
      </c>
      <c r="I99" s="10"/>
      <c r="J99" s="11"/>
      <c r="K99" s="11" t="str">
        <f t="shared" si="4"/>
        <v/>
      </c>
      <c r="L99" s="11"/>
      <c r="M99" s="11"/>
    </row>
    <row r="100" spans="1:13" hidden="1" x14ac:dyDescent="0.25">
      <c r="A100" s="6" t="s">
        <v>221</v>
      </c>
      <c r="B100" s="7" t="s">
        <v>222</v>
      </c>
      <c r="C100" s="8">
        <v>45810</v>
      </c>
      <c r="D100" s="11" t="s">
        <v>15</v>
      </c>
      <c r="E100" s="9" t="str">
        <f t="shared" si="5"/>
        <v>✅ Concluído</v>
      </c>
      <c r="F100" s="10"/>
      <c r="G100" s="11"/>
      <c r="H100" s="11" t="str">
        <f t="shared" si="3"/>
        <v/>
      </c>
      <c r="I100" s="10"/>
      <c r="J100" s="11"/>
      <c r="K100" s="11" t="str">
        <f t="shared" si="4"/>
        <v/>
      </c>
      <c r="L100" s="11"/>
      <c r="M100" s="11"/>
    </row>
    <row r="101" spans="1:13" hidden="1" x14ac:dyDescent="0.25">
      <c r="A101" s="6" t="s">
        <v>223</v>
      </c>
      <c r="B101" s="7" t="s">
        <v>224</v>
      </c>
      <c r="C101" s="8">
        <v>45818</v>
      </c>
      <c r="D101" s="11" t="s">
        <v>650</v>
      </c>
      <c r="E101" s="9" t="str">
        <f t="shared" si="5"/>
        <v>🔴 Infraestrutura (Telebras)</v>
      </c>
      <c r="F101" s="10"/>
      <c r="G101" s="11"/>
      <c r="H101" s="11" t="str">
        <f t="shared" si="3"/>
        <v/>
      </c>
      <c r="I101" s="10"/>
      <c r="J101" s="11"/>
      <c r="K101" s="11" t="str">
        <f t="shared" si="4"/>
        <v/>
      </c>
      <c r="L101" s="11"/>
      <c r="M101" s="11"/>
    </row>
    <row r="102" spans="1:13" hidden="1" x14ac:dyDescent="0.25">
      <c r="A102" s="6" t="s">
        <v>225</v>
      </c>
      <c r="B102" s="7" t="s">
        <v>226</v>
      </c>
      <c r="C102" s="8">
        <v>45807</v>
      </c>
      <c r="D102" s="11" t="s">
        <v>15</v>
      </c>
      <c r="E102" s="9" t="str">
        <f t="shared" si="5"/>
        <v>✅ Concluído</v>
      </c>
      <c r="F102" s="10"/>
      <c r="G102" s="11"/>
      <c r="H102" s="11" t="str">
        <f t="shared" si="3"/>
        <v/>
      </c>
      <c r="I102" s="10"/>
      <c r="J102" s="11"/>
      <c r="K102" s="11" t="str">
        <f t="shared" si="4"/>
        <v/>
      </c>
      <c r="L102" s="11"/>
      <c r="M102" s="11"/>
    </row>
    <row r="103" spans="1:13" hidden="1" x14ac:dyDescent="0.25">
      <c r="A103" s="6" t="s">
        <v>227</v>
      </c>
      <c r="B103" s="7" t="s">
        <v>228</v>
      </c>
      <c r="C103" s="8">
        <v>45812</v>
      </c>
      <c r="D103" s="11" t="s">
        <v>15</v>
      </c>
      <c r="E103" s="9" t="str">
        <f t="shared" si="5"/>
        <v>✅ Concluído</v>
      </c>
      <c r="F103" s="10"/>
      <c r="G103" s="11"/>
      <c r="H103" s="11" t="str">
        <f t="shared" si="3"/>
        <v/>
      </c>
      <c r="I103" s="10"/>
      <c r="J103" s="11"/>
      <c r="K103" s="11" t="str">
        <f t="shared" si="4"/>
        <v/>
      </c>
      <c r="L103" s="11"/>
      <c r="M103" s="11"/>
    </row>
    <row r="104" spans="1:13" ht="36" hidden="1" x14ac:dyDescent="0.25">
      <c r="A104" s="6" t="s">
        <v>229</v>
      </c>
      <c r="B104" s="7" t="s">
        <v>230</v>
      </c>
      <c r="C104" s="8">
        <v>45811</v>
      </c>
      <c r="D104" s="11" t="s">
        <v>231</v>
      </c>
      <c r="E104" s="9" t="str">
        <f t="shared" si="5"/>
        <v>🔴 Infraestrutura (Telebras)</v>
      </c>
      <c r="F104" s="10">
        <v>45968</v>
      </c>
      <c r="G104" s="11" t="s">
        <v>232</v>
      </c>
      <c r="H104" s="11" t="str">
        <f t="shared" ref="H104:H105" si="8">IF(G104="","",IF(AND(OR(ISNUMBER(SEARCH("TELEBRAS",UPPER(G104))),ISNUMBER(SEARCH("TLB",UPPER(G104))),ISNUMBER(SEARCH("LINK",UPPER(G104))),ISNUMBER(SEARCH("ROTA",UPPER(G104))),ISNUMBER(SEARCH("ENERGIA",UPPER(G104)))),OR(ISNUMBER(SEARCH("MVC",UPPER(G104))),ISNUMBER(SEARCH("FOTOS",UPPER(G104))),ISNUMBER(SEARCH("DOC",UPPER(G104))),ISNUMBER(SEARCH("TERMO",UPPER(G104))),ISNUMBER(SEARCH("CORREÇÃO",UPPER(G104))),ISNUMBER(SEARCH("CORRECAO",UPPER(G104))))),"🔴🟠 Misto (Telebras + MVC)",
 IF(OR(ISNUMBER(SEARCH("TELEBRAS",UPPER(G104))),ISNUMBER(SEARCH("TLB",UPPER(G104))),ISNUMBER(SEARCH("LINK",UPPER(G104))),ISNUMBER(SEARCH("ROTA",UPPER(G104))),ISNUMBER(SEARCH("ENERGIA",UPPER(G104)))),"🔴 Infraestrutura (Telebras)",
 IF(OR(ISNUMBER(SEARCH("MVC",UPPER(G104))),ISNUMBER(SEARCH("FOTOS",UPPER(G104))),ISNUMBER(SEARCH("DOC",UPPER(G104))),ISNUMBER(SEARCH("TERMO",UPPER(G104))),ISNUMBER(SEARCH("CORREÇÃO",UPPER(G104))),ISNUMBER(SEARCH("CORRECAO",UPPER(G104)))),"🟠 Pendência Operacional (MVC)",
 IF(OR(ISNUMBER(SEARCH("FECHADO",UPPER(G104))),ISNUMBER(SEARCH("HORÁRIO",UPPER(G104))),ISNUMBER(SEARCH("TARDE",UPPER(G104))),ISNUMBER(SEARCH("CORREIOS",UPPER(G104))),ISNUMBER(SEARCH("MATERIAL",UPPER(G104))),ISNUMBER(SEARCH("REAGENDADA",UPPER(G104))),ISNUMBER(SEARCH("REAGENDADO",UPPER(G104))),ISNUMBER(SEARCH("ALLTECH",UPPER(G104))),ISNUMBER(SEARCH("MA",UPPER(G104))),ISNUMBER(SEARCH("SEFAZ",UPPER(G104)))),"🟡 Acesso / MA / Logística",
 IF(OR(ISNUMBER(SEARCH("FINALIZADO",UPPER(G104))),ISNUMBER(SEARCH("FINALIZADA",UPPER(G104))),ISNUMBER(SEARCH("MIGRADA",UPPER(G104)))),"✅ Concluído",
 "Outros / A Verificar"))))))</f>
        <v>🔴 Infraestrutura (Telebras)</v>
      </c>
      <c r="I104" s="10"/>
      <c r="J104" s="11"/>
      <c r="K104" s="11" t="str">
        <f t="shared" si="4"/>
        <v/>
      </c>
      <c r="L104" s="11"/>
      <c r="M104" s="11"/>
    </row>
    <row r="105" spans="1:13" hidden="1" x14ac:dyDescent="0.25">
      <c r="A105" s="6" t="s">
        <v>233</v>
      </c>
      <c r="B105" s="7" t="s">
        <v>234</v>
      </c>
      <c r="C105" s="8">
        <v>45777</v>
      </c>
      <c r="D105" s="11" t="s">
        <v>14</v>
      </c>
      <c r="E105" s="9" t="str">
        <f t="shared" si="5"/>
        <v>🟠 Pendência Operacional (MVC)</v>
      </c>
      <c r="F105" s="10">
        <v>45782</v>
      </c>
      <c r="G105" s="11" t="s">
        <v>14</v>
      </c>
      <c r="H105" s="11" t="str">
        <f t="shared" si="8"/>
        <v>🟠 Pendência Operacional (MVC)</v>
      </c>
      <c r="I105" s="10">
        <v>45783</v>
      </c>
      <c r="J105" s="11" t="s">
        <v>15</v>
      </c>
      <c r="K105" s="11" t="str">
        <f t="shared" si="4"/>
        <v>✅ Concluído</v>
      </c>
      <c r="L105" s="11"/>
      <c r="M105" s="11"/>
    </row>
    <row r="106" spans="1:13" hidden="1" x14ac:dyDescent="0.25">
      <c r="A106" s="6" t="s">
        <v>235</v>
      </c>
      <c r="B106" s="7" t="s">
        <v>236</v>
      </c>
      <c r="C106" s="8">
        <v>45980</v>
      </c>
      <c r="D106" s="11" t="s">
        <v>237</v>
      </c>
      <c r="E106" s="9" t="str">
        <f t="shared" si="5"/>
        <v>🔴 Infraestrutura (Telebras)</v>
      </c>
      <c r="F106" s="10"/>
      <c r="G106" s="11"/>
      <c r="H106" s="11" t="str">
        <f t="shared" si="3"/>
        <v/>
      </c>
      <c r="I106" s="10"/>
      <c r="J106" s="11"/>
      <c r="K106" s="11" t="str">
        <f t="shared" si="4"/>
        <v/>
      </c>
      <c r="L106" s="11"/>
      <c r="M106" s="11"/>
    </row>
    <row r="107" spans="1:13" hidden="1" x14ac:dyDescent="0.25">
      <c r="A107" s="6" t="s">
        <v>238</v>
      </c>
      <c r="B107" s="7" t="s">
        <v>239</v>
      </c>
      <c r="C107" s="8">
        <v>45807</v>
      </c>
      <c r="D107" s="11" t="s">
        <v>15</v>
      </c>
      <c r="E107" s="9" t="str">
        <f t="shared" si="5"/>
        <v>✅ Concluído</v>
      </c>
      <c r="F107" s="10"/>
      <c r="G107" s="11"/>
      <c r="H107" s="11" t="str">
        <f t="shared" si="3"/>
        <v/>
      </c>
      <c r="I107" s="10"/>
      <c r="J107" s="11"/>
      <c r="K107" s="11" t="str">
        <f t="shared" si="4"/>
        <v/>
      </c>
      <c r="L107" s="11"/>
      <c r="M107" s="11"/>
    </row>
    <row r="108" spans="1:13" hidden="1" x14ac:dyDescent="0.25">
      <c r="A108" s="6" t="s">
        <v>240</v>
      </c>
      <c r="B108" s="7" t="s">
        <v>241</v>
      </c>
      <c r="C108" s="8">
        <v>45797</v>
      </c>
      <c r="D108" s="9" t="s">
        <v>15</v>
      </c>
      <c r="E108" s="9" t="str">
        <f t="shared" si="5"/>
        <v>✅ Concluído</v>
      </c>
      <c r="F108" s="10"/>
      <c r="G108" s="11"/>
      <c r="H108" s="11" t="str">
        <f t="shared" si="3"/>
        <v/>
      </c>
      <c r="I108" s="10"/>
      <c r="J108" s="11"/>
      <c r="K108" s="11" t="str">
        <f t="shared" si="4"/>
        <v/>
      </c>
      <c r="L108" s="11"/>
      <c r="M108" s="11"/>
    </row>
    <row r="109" spans="1:13" hidden="1" x14ac:dyDescent="0.25">
      <c r="A109" s="6" t="s">
        <v>242</v>
      </c>
      <c r="B109" s="7" t="s">
        <v>243</v>
      </c>
      <c r="C109" s="8">
        <v>45798</v>
      </c>
      <c r="D109" s="11" t="s">
        <v>15</v>
      </c>
      <c r="E109" s="9" t="str">
        <f t="shared" si="5"/>
        <v>✅ Concluído</v>
      </c>
      <c r="F109" s="10"/>
      <c r="G109" s="11"/>
      <c r="H109" s="11" t="str">
        <f t="shared" si="3"/>
        <v/>
      </c>
      <c r="I109" s="10"/>
      <c r="J109" s="11"/>
      <c r="K109" s="11" t="str">
        <f t="shared" si="4"/>
        <v/>
      </c>
      <c r="L109" s="11"/>
      <c r="M109" s="11"/>
    </row>
    <row r="110" spans="1:13" hidden="1" x14ac:dyDescent="0.25">
      <c r="A110" s="6" t="s">
        <v>244</v>
      </c>
      <c r="B110" s="7" t="s">
        <v>245</v>
      </c>
      <c r="C110" s="8">
        <v>45919</v>
      </c>
      <c r="D110" s="11" t="s">
        <v>15</v>
      </c>
      <c r="E110" s="9" t="str">
        <f t="shared" si="5"/>
        <v>✅ Concluído</v>
      </c>
      <c r="F110" s="10"/>
      <c r="G110" s="11"/>
      <c r="H110" s="11" t="str">
        <f t="shared" si="3"/>
        <v/>
      </c>
      <c r="I110" s="10"/>
      <c r="J110" s="11"/>
      <c r="K110" s="11" t="str">
        <f t="shared" si="4"/>
        <v/>
      </c>
      <c r="L110" s="11"/>
      <c r="M110" s="11"/>
    </row>
    <row r="111" spans="1:13" hidden="1" x14ac:dyDescent="0.25">
      <c r="A111" s="6" t="s">
        <v>246</v>
      </c>
      <c r="B111" s="7" t="s">
        <v>247</v>
      </c>
      <c r="C111" s="8">
        <v>45799</v>
      </c>
      <c r="D111" s="11" t="s">
        <v>14</v>
      </c>
      <c r="E111" s="9" t="str">
        <f t="shared" si="5"/>
        <v>🟠 Pendência Operacional (MVC)</v>
      </c>
      <c r="F111" s="10">
        <v>45916</v>
      </c>
      <c r="G111" s="11" t="s">
        <v>15</v>
      </c>
      <c r="H111" s="11" t="str">
        <f>IF(G111="","",IF(AND(OR(ISNUMBER(SEARCH("TELEBRAS",UPPER(G111))),ISNUMBER(SEARCH("TLB",UPPER(G111))),ISNUMBER(SEARCH("LINK",UPPER(G111))),ISNUMBER(SEARCH("ROTA",UPPER(G111))),ISNUMBER(SEARCH("ENERGIA",UPPER(G111)))),OR(ISNUMBER(SEARCH("MVC",UPPER(G111))),ISNUMBER(SEARCH("FOTOS",UPPER(G111))),ISNUMBER(SEARCH("DOC",UPPER(G111))),ISNUMBER(SEARCH("TERMO",UPPER(G111))),ISNUMBER(SEARCH("CORREÇÃO",UPPER(G111))),ISNUMBER(SEARCH("CORRECAO",UPPER(G111))))),"🔴🟠 Misto (Telebras + MVC)",
 IF(OR(ISNUMBER(SEARCH("TELEBRAS",UPPER(G111))),ISNUMBER(SEARCH("TLB",UPPER(G111))),ISNUMBER(SEARCH("LINK",UPPER(G111))),ISNUMBER(SEARCH("ROTA",UPPER(G111))),ISNUMBER(SEARCH("ENERGIA",UPPER(G111)))),"🔴 Infraestrutura (Telebras)",
 IF(OR(ISNUMBER(SEARCH("MVC",UPPER(G111))),ISNUMBER(SEARCH("FOTOS",UPPER(G111))),ISNUMBER(SEARCH("DOC",UPPER(G111))),ISNUMBER(SEARCH("TERMO",UPPER(G111))),ISNUMBER(SEARCH("CORREÇÃO",UPPER(G111))),ISNUMBER(SEARCH("CORRECAO",UPPER(G111)))),"🟠 Pendência Operacional (MVC)",
 IF(OR(ISNUMBER(SEARCH("FECHADO",UPPER(G111))),ISNUMBER(SEARCH("HORÁRIO",UPPER(G111))),ISNUMBER(SEARCH("TARDE",UPPER(G111))),ISNUMBER(SEARCH("CORREIOS",UPPER(G111))),ISNUMBER(SEARCH("MATERIAL",UPPER(G111))),ISNUMBER(SEARCH("REAGENDADA",UPPER(G111))),ISNUMBER(SEARCH("REAGENDADO",UPPER(G111))),ISNUMBER(SEARCH("ALLTECH",UPPER(G111))),ISNUMBER(SEARCH("MA",UPPER(G111))),ISNUMBER(SEARCH("SEFAZ",UPPER(G111)))),"🟡 Acesso / MA / Logística",
 IF(OR(ISNUMBER(SEARCH("FINALIZADO",UPPER(G111))),ISNUMBER(SEARCH("FINALIZADA",UPPER(G111))),ISNUMBER(SEARCH("MIGRADA",UPPER(G111)))),"✅ Concluído",
 "Outros / A Verificar"))))))</f>
        <v>✅ Concluído</v>
      </c>
      <c r="I111" s="10"/>
      <c r="J111" s="11"/>
      <c r="K111" s="11" t="str">
        <f t="shared" si="4"/>
        <v/>
      </c>
      <c r="L111" s="11"/>
      <c r="M111" s="11"/>
    </row>
    <row r="112" spans="1:13" hidden="1" x14ac:dyDescent="0.25">
      <c r="A112" s="6" t="s">
        <v>248</v>
      </c>
      <c r="B112" s="7" t="s">
        <v>249</v>
      </c>
      <c r="C112" s="8">
        <v>45819</v>
      </c>
      <c r="D112" s="11" t="s">
        <v>15</v>
      </c>
      <c r="E112" s="9" t="str">
        <f t="shared" si="5"/>
        <v>✅ Concluído</v>
      </c>
      <c r="F112" s="10"/>
      <c r="G112" s="11"/>
      <c r="H112" s="11" t="str">
        <f t="shared" si="3"/>
        <v/>
      </c>
      <c r="I112" s="10"/>
      <c r="J112" s="11"/>
      <c r="K112" s="11" t="str">
        <f t="shared" si="4"/>
        <v/>
      </c>
      <c r="L112" s="11"/>
      <c r="M112" s="11"/>
    </row>
    <row r="113" spans="1:13" hidden="1" x14ac:dyDescent="0.25">
      <c r="A113" s="6" t="s">
        <v>250</v>
      </c>
      <c r="B113" s="7" t="s">
        <v>251</v>
      </c>
      <c r="C113" s="8">
        <v>45805</v>
      </c>
      <c r="D113" s="9" t="s">
        <v>15</v>
      </c>
      <c r="E113" s="9" t="str">
        <f t="shared" si="5"/>
        <v>✅ Concluído</v>
      </c>
      <c r="F113" s="10"/>
      <c r="G113" s="11"/>
      <c r="H113" s="11" t="str">
        <f t="shared" si="3"/>
        <v/>
      </c>
      <c r="I113" s="10"/>
      <c r="J113" s="11"/>
      <c r="K113" s="11" t="str">
        <f t="shared" si="4"/>
        <v/>
      </c>
      <c r="L113" s="11"/>
      <c r="M113" s="11"/>
    </row>
    <row r="114" spans="1:13" hidden="1" x14ac:dyDescent="0.25">
      <c r="A114" s="6" t="s">
        <v>252</v>
      </c>
      <c r="B114" s="7" t="s">
        <v>253</v>
      </c>
      <c r="C114" s="8">
        <v>45803</v>
      </c>
      <c r="D114" s="11" t="s">
        <v>15</v>
      </c>
      <c r="E114" s="9" t="str">
        <f t="shared" si="5"/>
        <v>✅ Concluído</v>
      </c>
      <c r="F114" s="10"/>
      <c r="G114" s="11"/>
      <c r="H114" s="11" t="str">
        <f t="shared" si="3"/>
        <v/>
      </c>
      <c r="I114" s="10"/>
      <c r="J114" s="11"/>
      <c r="K114" s="11" t="str">
        <f t="shared" si="4"/>
        <v/>
      </c>
      <c r="L114" s="11"/>
      <c r="M114" s="11"/>
    </row>
    <row r="115" spans="1:13" ht="24" hidden="1" x14ac:dyDescent="0.25">
      <c r="A115" s="6" t="s">
        <v>254</v>
      </c>
      <c r="B115" s="7" t="s">
        <v>255</v>
      </c>
      <c r="C115" s="8">
        <v>45810</v>
      </c>
      <c r="D115" s="11" t="s">
        <v>650</v>
      </c>
      <c r="E115" s="9" t="str">
        <f t="shared" si="5"/>
        <v>🔴 Infraestrutura (Telebras)</v>
      </c>
      <c r="F115" s="10">
        <v>45939</v>
      </c>
      <c r="G115" s="11" t="s">
        <v>840</v>
      </c>
      <c r="H115" s="11" t="str">
        <f>IF(G115="","",IF(AND(OR(ISNUMBER(SEARCH("TELEBRAS",UPPER(G115))),ISNUMBER(SEARCH("TLB",UPPER(G115))),ISNUMBER(SEARCH("LINK",UPPER(G115))),ISNUMBER(SEARCH("ROTA",UPPER(G115))),ISNUMBER(SEARCH("ENERGIA",UPPER(G115)))),OR(ISNUMBER(SEARCH("MVC",UPPER(G115))),ISNUMBER(SEARCH("FOTOS",UPPER(G115))),ISNUMBER(SEARCH("DOC",UPPER(G115))),ISNUMBER(SEARCH("TERMO",UPPER(G115))),ISNUMBER(SEARCH("CORREÇÃO",UPPER(G115))),ISNUMBER(SEARCH("CORRECAO",UPPER(G115))))),"🔴🟠 Misto (Telebras + MVC)",
 IF(OR(ISNUMBER(SEARCH("TELEBRAS",UPPER(G115))),ISNUMBER(SEARCH("TLB",UPPER(G115))),ISNUMBER(SEARCH("LINK",UPPER(G115))),ISNUMBER(SEARCH("ROTA",UPPER(G115))),ISNUMBER(SEARCH("ENERGIA",UPPER(G115)))),"🔴 Infraestrutura (Telebras)",
 IF(OR(ISNUMBER(SEARCH("MVC",UPPER(G115))),ISNUMBER(SEARCH("FOTOS",UPPER(G115))),ISNUMBER(SEARCH("DOC",UPPER(G115))),ISNUMBER(SEARCH("TERMO",UPPER(G115))),ISNUMBER(SEARCH("CORREÇÃO",UPPER(G115))),ISNUMBER(SEARCH("CORRECAO",UPPER(G115)))),"🟠 Pendência Operacional (MVC)",
 IF(OR(ISNUMBER(SEARCH("FECHADO",UPPER(G115))),ISNUMBER(SEARCH("HORÁRIO",UPPER(G115))),ISNUMBER(SEARCH("TARDE",UPPER(G115))),ISNUMBER(SEARCH("CORREIOS",UPPER(G115))),ISNUMBER(SEARCH("MATERIAL",UPPER(G115))),ISNUMBER(SEARCH("REAGENDADA",UPPER(G115))),ISNUMBER(SEARCH("REAGENDADO",UPPER(G115))),ISNUMBER(SEARCH("ALLTECH",UPPER(G115))),ISNUMBER(SEARCH("MA",UPPER(G115))),ISNUMBER(SEARCH("SEFAZ",UPPER(G115)))),"🟡 Acesso / MA / Logística",
 IF(OR(ISNUMBER(SEARCH("FINALIZADO",UPPER(G115))),ISNUMBER(SEARCH("FINALIZADA",UPPER(G115))),ISNUMBER(SEARCH("MIGRADA",UPPER(G115)))),"✅ Concluído",
 "Outros / A Verificar"))))))</f>
        <v>🔴 Infraestrutura (Telebras)</v>
      </c>
      <c r="I115" s="10">
        <v>45971</v>
      </c>
      <c r="J115" s="11" t="s">
        <v>15</v>
      </c>
      <c r="K115" s="11" t="str">
        <f t="shared" si="4"/>
        <v>✅ Concluído</v>
      </c>
      <c r="L115" s="11"/>
      <c r="M115" s="11"/>
    </row>
    <row r="116" spans="1:13" hidden="1" x14ac:dyDescent="0.25">
      <c r="A116" s="6" t="s">
        <v>256</v>
      </c>
      <c r="B116" s="7" t="s">
        <v>257</v>
      </c>
      <c r="C116" s="8">
        <v>45804</v>
      </c>
      <c r="D116" s="11" t="s">
        <v>15</v>
      </c>
      <c r="E116" s="9" t="str">
        <f t="shared" si="5"/>
        <v>✅ Concluído</v>
      </c>
      <c r="F116" s="10"/>
      <c r="G116" s="11"/>
      <c r="H116" s="11" t="str">
        <f t="shared" si="3"/>
        <v/>
      </c>
      <c r="I116" s="10"/>
      <c r="J116" s="11"/>
      <c r="K116" s="11" t="str">
        <f t="shared" si="4"/>
        <v/>
      </c>
      <c r="L116" s="11"/>
      <c r="M116" s="11"/>
    </row>
    <row r="117" spans="1:13" hidden="1" x14ac:dyDescent="0.25">
      <c r="A117" s="6" t="s">
        <v>258</v>
      </c>
      <c r="B117" s="7" t="s">
        <v>259</v>
      </c>
      <c r="C117" s="8">
        <v>45806</v>
      </c>
      <c r="D117" s="11" t="s">
        <v>15</v>
      </c>
      <c r="E117" s="9" t="str">
        <f t="shared" si="5"/>
        <v>✅ Concluído</v>
      </c>
      <c r="F117" s="10"/>
      <c r="G117" s="11"/>
      <c r="H117" s="11" t="str">
        <f t="shared" si="3"/>
        <v/>
      </c>
      <c r="I117" s="10"/>
      <c r="J117" s="11"/>
      <c r="K117" s="11" t="str">
        <f t="shared" si="4"/>
        <v/>
      </c>
      <c r="L117" s="11"/>
      <c r="M117" s="11"/>
    </row>
    <row r="118" spans="1:13" hidden="1" x14ac:dyDescent="0.25">
      <c r="A118" s="6" t="s">
        <v>260</v>
      </c>
      <c r="B118" s="7" t="s">
        <v>261</v>
      </c>
      <c r="C118" s="8">
        <v>45838</v>
      </c>
      <c r="D118" s="11" t="s">
        <v>15</v>
      </c>
      <c r="E118" s="9" t="str">
        <f t="shared" si="5"/>
        <v>✅ Concluído</v>
      </c>
      <c r="F118" s="10"/>
      <c r="G118" s="11"/>
      <c r="H118" s="11" t="str">
        <f t="shared" si="3"/>
        <v/>
      </c>
      <c r="I118" s="10"/>
      <c r="J118" s="11"/>
      <c r="K118" s="11" t="str">
        <f t="shared" si="4"/>
        <v/>
      </c>
      <c r="L118" s="11"/>
      <c r="M118" s="11"/>
    </row>
    <row r="119" spans="1:13" hidden="1" x14ac:dyDescent="0.25">
      <c r="A119" s="6" t="s">
        <v>262</v>
      </c>
      <c r="B119" s="7" t="s">
        <v>263</v>
      </c>
      <c r="C119" s="8">
        <v>45813</v>
      </c>
      <c r="D119" s="11" t="s">
        <v>650</v>
      </c>
      <c r="E119" s="9" t="str">
        <f t="shared" si="5"/>
        <v>🔴 Infraestrutura (Telebras)</v>
      </c>
      <c r="F119" s="10">
        <v>45831</v>
      </c>
      <c r="G119" s="11" t="s">
        <v>15</v>
      </c>
      <c r="H119" s="11" t="str">
        <f>IF(G119="","",IF(AND(OR(ISNUMBER(SEARCH("TELEBRAS",UPPER(G119))),ISNUMBER(SEARCH("TLB",UPPER(G119))),ISNUMBER(SEARCH("LINK",UPPER(G119))),ISNUMBER(SEARCH("ROTA",UPPER(G119))),ISNUMBER(SEARCH("ENERGIA",UPPER(G119)))),OR(ISNUMBER(SEARCH("MVC",UPPER(G119))),ISNUMBER(SEARCH("FOTOS",UPPER(G119))),ISNUMBER(SEARCH("DOC",UPPER(G119))),ISNUMBER(SEARCH("TERMO",UPPER(G119))),ISNUMBER(SEARCH("CORREÇÃO",UPPER(G119))),ISNUMBER(SEARCH("CORRECAO",UPPER(G119))))),"🔴🟠 Misto (Telebras + MVC)",
 IF(OR(ISNUMBER(SEARCH("TELEBRAS",UPPER(G119))),ISNUMBER(SEARCH("TLB",UPPER(G119))),ISNUMBER(SEARCH("LINK",UPPER(G119))),ISNUMBER(SEARCH("ROTA",UPPER(G119))),ISNUMBER(SEARCH("ENERGIA",UPPER(G119)))),"🔴 Infraestrutura (Telebras)",
 IF(OR(ISNUMBER(SEARCH("MVC",UPPER(G119))),ISNUMBER(SEARCH("FOTOS",UPPER(G119))),ISNUMBER(SEARCH("DOC",UPPER(G119))),ISNUMBER(SEARCH("TERMO",UPPER(G119))),ISNUMBER(SEARCH("CORREÇÃO",UPPER(G119))),ISNUMBER(SEARCH("CORRECAO",UPPER(G119)))),"🟠 Pendência Operacional (MVC)",
 IF(OR(ISNUMBER(SEARCH("FECHADO",UPPER(G119))),ISNUMBER(SEARCH("HORÁRIO",UPPER(G119))),ISNUMBER(SEARCH("TARDE",UPPER(G119))),ISNUMBER(SEARCH("CORREIOS",UPPER(G119))),ISNUMBER(SEARCH("MATERIAL",UPPER(G119))),ISNUMBER(SEARCH("REAGENDADA",UPPER(G119))),ISNUMBER(SEARCH("REAGENDADO",UPPER(G119))),ISNUMBER(SEARCH("ALLTECH",UPPER(G119))),ISNUMBER(SEARCH("MA",UPPER(G119))),ISNUMBER(SEARCH("SEFAZ",UPPER(G119)))),"🟡 Acesso / MA / Logística",
 IF(OR(ISNUMBER(SEARCH("FINALIZADO",UPPER(G119))),ISNUMBER(SEARCH("FINALIZADA",UPPER(G119))),ISNUMBER(SEARCH("MIGRADA",UPPER(G119)))),"✅ Concluído",
 "Outros / A Verificar"))))))</f>
        <v>✅ Concluído</v>
      </c>
      <c r="I119" s="10"/>
      <c r="J119" s="11"/>
      <c r="K119" s="11" t="str">
        <f t="shared" si="4"/>
        <v/>
      </c>
      <c r="L119" s="11"/>
      <c r="M119" s="11"/>
    </row>
    <row r="120" spans="1:13" hidden="1" x14ac:dyDescent="0.25">
      <c r="A120" s="6" t="s">
        <v>264</v>
      </c>
      <c r="B120" s="7" t="s">
        <v>265</v>
      </c>
      <c r="C120" s="8">
        <v>45915</v>
      </c>
      <c r="D120" s="11" t="s">
        <v>650</v>
      </c>
      <c r="E120" s="9" t="str">
        <f t="shared" si="5"/>
        <v>🔴 Infraestrutura (Telebras)</v>
      </c>
      <c r="F120" s="10"/>
      <c r="G120" s="11"/>
      <c r="H120" s="11" t="str">
        <f t="shared" si="3"/>
        <v/>
      </c>
      <c r="I120" s="10"/>
      <c r="J120" s="11"/>
      <c r="K120" s="11" t="str">
        <f t="shared" si="4"/>
        <v/>
      </c>
      <c r="L120" s="11"/>
      <c r="M120" s="11"/>
    </row>
    <row r="121" spans="1:13" hidden="1" x14ac:dyDescent="0.25">
      <c r="A121" s="6" t="s">
        <v>266</v>
      </c>
      <c r="B121" s="7" t="s">
        <v>267</v>
      </c>
      <c r="C121" s="8">
        <v>45803</v>
      </c>
      <c r="D121" s="11" t="s">
        <v>15</v>
      </c>
      <c r="E121" s="9" t="str">
        <f t="shared" si="5"/>
        <v>✅ Concluído</v>
      </c>
      <c r="F121" s="10"/>
      <c r="G121" s="11"/>
      <c r="H121" s="11" t="str">
        <f t="shared" si="3"/>
        <v/>
      </c>
      <c r="I121" s="10"/>
      <c r="J121" s="11"/>
      <c r="K121" s="11" t="str">
        <f t="shared" si="4"/>
        <v/>
      </c>
      <c r="L121" s="11"/>
      <c r="M121" s="11"/>
    </row>
    <row r="122" spans="1:13" hidden="1" x14ac:dyDescent="0.25">
      <c r="A122" s="6" t="s">
        <v>268</v>
      </c>
      <c r="B122" s="7" t="s">
        <v>269</v>
      </c>
      <c r="C122" s="8">
        <v>45817</v>
      </c>
      <c r="D122" s="11" t="s">
        <v>859</v>
      </c>
      <c r="E122" s="9" t="str">
        <f t="shared" si="5"/>
        <v>🔴 Infraestrutura (Telebras)</v>
      </c>
      <c r="F122" s="10"/>
      <c r="G122" s="11"/>
      <c r="H122" s="11" t="str">
        <f t="shared" si="3"/>
        <v/>
      </c>
      <c r="I122" s="10"/>
      <c r="J122" s="11"/>
      <c r="K122" s="11" t="str">
        <f t="shared" si="4"/>
        <v/>
      </c>
      <c r="L122" s="11"/>
      <c r="M122" s="11"/>
    </row>
    <row r="123" spans="1:13" hidden="1" x14ac:dyDescent="0.25">
      <c r="A123" s="6" t="s">
        <v>270</v>
      </c>
      <c r="B123" s="7" t="s">
        <v>271</v>
      </c>
      <c r="C123" s="8">
        <v>45820</v>
      </c>
      <c r="D123" s="11" t="s">
        <v>650</v>
      </c>
      <c r="E123" s="9" t="str">
        <f t="shared" si="5"/>
        <v>🔴 Infraestrutura (Telebras)</v>
      </c>
      <c r="F123" s="10">
        <v>45905</v>
      </c>
      <c r="G123" s="11" t="s">
        <v>15</v>
      </c>
      <c r="H123" s="11" t="str">
        <f>IF(G123="","",IF(AND(OR(ISNUMBER(SEARCH("TELEBRAS",UPPER(G123))),ISNUMBER(SEARCH("TLB",UPPER(G123))),ISNUMBER(SEARCH("LINK",UPPER(G123))),ISNUMBER(SEARCH("ROTA",UPPER(G123))),ISNUMBER(SEARCH("ENERGIA",UPPER(G123)))),OR(ISNUMBER(SEARCH("MVC",UPPER(G123))),ISNUMBER(SEARCH("FOTOS",UPPER(G123))),ISNUMBER(SEARCH("DOC",UPPER(G123))),ISNUMBER(SEARCH("TERMO",UPPER(G123))),ISNUMBER(SEARCH("CORREÇÃO",UPPER(G123))),ISNUMBER(SEARCH("CORRECAO",UPPER(G123))))),"🔴🟠 Misto (Telebras + MVC)",
 IF(OR(ISNUMBER(SEARCH("TELEBRAS",UPPER(G123))),ISNUMBER(SEARCH("TLB",UPPER(G123))),ISNUMBER(SEARCH("LINK",UPPER(G123))),ISNUMBER(SEARCH("ROTA",UPPER(G123))),ISNUMBER(SEARCH("ENERGIA",UPPER(G123)))),"🔴 Infraestrutura (Telebras)",
 IF(OR(ISNUMBER(SEARCH("MVC",UPPER(G123))),ISNUMBER(SEARCH("FOTOS",UPPER(G123))),ISNUMBER(SEARCH("DOC",UPPER(G123))),ISNUMBER(SEARCH("TERMO",UPPER(G123))),ISNUMBER(SEARCH("CORREÇÃO",UPPER(G123))),ISNUMBER(SEARCH("CORRECAO",UPPER(G123)))),"🟠 Pendência Operacional (MVC)",
 IF(OR(ISNUMBER(SEARCH("FECHADO",UPPER(G123))),ISNUMBER(SEARCH("HORÁRIO",UPPER(G123))),ISNUMBER(SEARCH("TARDE",UPPER(G123))),ISNUMBER(SEARCH("CORREIOS",UPPER(G123))),ISNUMBER(SEARCH("MATERIAL",UPPER(G123))),ISNUMBER(SEARCH("REAGENDADA",UPPER(G123))),ISNUMBER(SEARCH("REAGENDADO",UPPER(G123))),ISNUMBER(SEARCH("ALLTECH",UPPER(G123))),ISNUMBER(SEARCH("MA",UPPER(G123))),ISNUMBER(SEARCH("SEFAZ",UPPER(G123)))),"🟡 Acesso / MA / Logística",
 IF(OR(ISNUMBER(SEARCH("FINALIZADO",UPPER(G123))),ISNUMBER(SEARCH("FINALIZADA",UPPER(G123))),ISNUMBER(SEARCH("MIGRADA",UPPER(G123)))),"✅ Concluído",
 "Outros / A Verificar"))))))</f>
        <v>✅ Concluído</v>
      </c>
      <c r="I123" s="10"/>
      <c r="J123" s="11"/>
      <c r="K123" s="11" t="str">
        <f t="shared" si="4"/>
        <v/>
      </c>
      <c r="L123" s="11"/>
      <c r="M123" s="11"/>
    </row>
    <row r="124" spans="1:13" hidden="1" x14ac:dyDescent="0.25">
      <c r="A124" s="6" t="s">
        <v>272</v>
      </c>
      <c r="B124" s="7" t="s">
        <v>273</v>
      </c>
      <c r="C124" s="8">
        <v>45833</v>
      </c>
      <c r="D124" s="11" t="s">
        <v>15</v>
      </c>
      <c r="E124" s="9" t="str">
        <f t="shared" si="5"/>
        <v>✅ Concluído</v>
      </c>
      <c r="F124" s="10"/>
      <c r="G124" s="11"/>
      <c r="H124" s="11" t="str">
        <f t="shared" si="3"/>
        <v/>
      </c>
      <c r="I124" s="10"/>
      <c r="J124" s="11"/>
      <c r="K124" s="11" t="str">
        <f t="shared" si="4"/>
        <v/>
      </c>
      <c r="L124" s="11"/>
      <c r="M124" s="11"/>
    </row>
    <row r="125" spans="1:13" ht="48" hidden="1" x14ac:dyDescent="0.25">
      <c r="A125" s="6" t="s">
        <v>274</v>
      </c>
      <c r="B125" s="7" t="s">
        <v>275</v>
      </c>
      <c r="C125" s="8">
        <v>45821</v>
      </c>
      <c r="D125" s="11" t="s">
        <v>650</v>
      </c>
      <c r="E125" s="9" t="str">
        <f t="shared" si="5"/>
        <v>🔴 Infraestrutura (Telebras)</v>
      </c>
      <c r="F125" s="10">
        <v>45917</v>
      </c>
      <c r="G125" s="11" t="s">
        <v>276</v>
      </c>
      <c r="H125" s="11" t="str">
        <f>IF(G125="","",IF(AND(OR(ISNUMBER(SEARCH("TELEBRAS",UPPER(G125))),ISNUMBER(SEARCH("TLB",UPPER(G125))),ISNUMBER(SEARCH("LINK",UPPER(G125))),ISNUMBER(SEARCH("ROTA",UPPER(G125))),ISNUMBER(SEARCH("ENERGIA",UPPER(G125)))),OR(ISNUMBER(SEARCH("MVC",UPPER(G125))),ISNUMBER(SEARCH("FOTOS",UPPER(G125))),ISNUMBER(SEARCH("DOC",UPPER(G125))),ISNUMBER(SEARCH("TERMO",UPPER(G125))),ISNUMBER(SEARCH("CORREÇÃO",UPPER(G125))),ISNUMBER(SEARCH("CORRECAO",UPPER(G125))))),"🔴🟠 Misto (Telebras + MVC)",
 IF(OR(ISNUMBER(SEARCH("TELEBRAS",UPPER(G125))),ISNUMBER(SEARCH("TLB",UPPER(G125))),ISNUMBER(SEARCH("LINK",UPPER(G125))),ISNUMBER(SEARCH("ROTA",UPPER(G125))),ISNUMBER(SEARCH("ENERGIA",UPPER(G125)))),"🔴 Infraestrutura (Telebras)",
 IF(OR(ISNUMBER(SEARCH("MVC",UPPER(G125))),ISNUMBER(SEARCH("FOTOS",UPPER(G125))),ISNUMBER(SEARCH("DOC",UPPER(G125))),ISNUMBER(SEARCH("TERMO",UPPER(G125))),ISNUMBER(SEARCH("CORREÇÃO",UPPER(G125))),ISNUMBER(SEARCH("CORRECAO",UPPER(G125)))),"🟠 Pendência Operacional (MVC)",
 IF(OR(ISNUMBER(SEARCH("FECHADO",UPPER(G125))),ISNUMBER(SEARCH("HORÁRIO",UPPER(G125))),ISNUMBER(SEARCH("TARDE",UPPER(G125))),ISNUMBER(SEARCH("CORREIOS",UPPER(G125))),ISNUMBER(SEARCH("MATERIAL",UPPER(G125))),ISNUMBER(SEARCH("REAGENDADA",UPPER(G125))),ISNUMBER(SEARCH("REAGENDADO",UPPER(G125))),ISNUMBER(SEARCH("ALLTECH",UPPER(G125))),ISNUMBER(SEARCH("MA",UPPER(G125))),ISNUMBER(SEARCH("SEFAZ",UPPER(G125)))),"🟡 Acesso / MA / Logística",
 IF(OR(ISNUMBER(SEARCH("FINALIZADO",UPPER(G125))),ISNUMBER(SEARCH("FINALIZADA",UPPER(G125))),ISNUMBER(SEARCH("MIGRADA",UPPER(G125)))),"✅ Concluído",
 "Outros / A Verificar"))))))</f>
        <v>🔴 Infraestrutura (Telebras)</v>
      </c>
      <c r="I125" s="10">
        <v>45946</v>
      </c>
      <c r="J125" s="11" t="s">
        <v>277</v>
      </c>
      <c r="K125" s="11" t="str">
        <f t="shared" si="4"/>
        <v>🔴 Infraestrutura (Telebras)</v>
      </c>
      <c r="L125" s="11"/>
      <c r="M125" s="11"/>
    </row>
    <row r="126" spans="1:13" hidden="1" x14ac:dyDescent="0.25">
      <c r="A126" s="6" t="s">
        <v>278</v>
      </c>
      <c r="B126" s="7" t="s">
        <v>279</v>
      </c>
      <c r="C126" s="8">
        <v>45817</v>
      </c>
      <c r="D126" s="11" t="s">
        <v>650</v>
      </c>
      <c r="E126" s="9" t="str">
        <f t="shared" si="5"/>
        <v>🔴 Infraestrutura (Telebras)</v>
      </c>
      <c r="F126" s="10"/>
      <c r="G126" s="11"/>
      <c r="H126" s="11" t="str">
        <f t="shared" si="3"/>
        <v/>
      </c>
      <c r="I126" s="10"/>
      <c r="J126" s="11"/>
      <c r="K126" s="11" t="str">
        <f t="shared" si="4"/>
        <v/>
      </c>
      <c r="L126" s="11"/>
      <c r="M126" s="11"/>
    </row>
    <row r="127" spans="1:13" hidden="1" x14ac:dyDescent="0.25">
      <c r="A127" s="6" t="s">
        <v>280</v>
      </c>
      <c r="B127" s="7" t="s">
        <v>281</v>
      </c>
      <c r="C127" s="8">
        <v>45812</v>
      </c>
      <c r="D127" s="9" t="s">
        <v>863</v>
      </c>
      <c r="E127" s="9" t="str">
        <f t="shared" si="5"/>
        <v>CANCELADO</v>
      </c>
      <c r="F127" s="10"/>
      <c r="G127" s="11"/>
      <c r="H127" s="11" t="str">
        <f t="shared" si="3"/>
        <v/>
      </c>
      <c r="I127" s="10"/>
      <c r="J127" s="11"/>
      <c r="K127" s="11" t="str">
        <f t="shared" si="4"/>
        <v/>
      </c>
      <c r="L127" s="11"/>
      <c r="M127" s="11"/>
    </row>
    <row r="128" spans="1:13" hidden="1" x14ac:dyDescent="0.25">
      <c r="A128" s="6" t="s">
        <v>282</v>
      </c>
      <c r="B128" s="7" t="s">
        <v>283</v>
      </c>
      <c r="C128" s="8">
        <v>45821</v>
      </c>
      <c r="D128" s="11" t="s">
        <v>15</v>
      </c>
      <c r="E128" s="9" t="str">
        <f t="shared" si="5"/>
        <v>✅ Concluído</v>
      </c>
      <c r="F128" s="10"/>
      <c r="G128" s="11"/>
      <c r="H128" s="11" t="str">
        <f t="shared" si="3"/>
        <v/>
      </c>
      <c r="I128" s="10"/>
      <c r="J128" s="11"/>
      <c r="K128" s="11" t="str">
        <f t="shared" si="4"/>
        <v/>
      </c>
      <c r="L128" s="11"/>
      <c r="M128" s="11"/>
    </row>
    <row r="129" spans="1:13" hidden="1" x14ac:dyDescent="0.25">
      <c r="A129" s="6" t="s">
        <v>284</v>
      </c>
      <c r="B129" s="7" t="s">
        <v>285</v>
      </c>
      <c r="C129" s="8"/>
      <c r="D129" s="9"/>
      <c r="E129" s="9" t="str">
        <f t="shared" si="5"/>
        <v/>
      </c>
      <c r="F129" s="10"/>
      <c r="G129" s="11"/>
      <c r="H129" s="11" t="str">
        <f t="shared" si="3"/>
        <v/>
      </c>
      <c r="I129" s="10"/>
      <c r="J129" s="11"/>
      <c r="K129" s="11" t="str">
        <f t="shared" si="4"/>
        <v/>
      </c>
      <c r="L129" s="11"/>
      <c r="M129" s="11"/>
    </row>
    <row r="130" spans="1:13" hidden="1" x14ac:dyDescent="0.25">
      <c r="A130" s="6" t="s">
        <v>286</v>
      </c>
      <c r="B130" s="7" t="s">
        <v>287</v>
      </c>
      <c r="C130" s="8">
        <v>45888</v>
      </c>
      <c r="D130" s="11" t="s">
        <v>15</v>
      </c>
      <c r="E130" s="9" t="str">
        <f t="shared" si="5"/>
        <v>✅ Concluído</v>
      </c>
      <c r="F130" s="10"/>
      <c r="G130" s="11"/>
      <c r="H130" s="11" t="str">
        <f t="shared" ref="H130:H193" si="9">IF(G130="","",IF(AND(OR(ISNUMBER(SEARCH("TELEBRAS",UPPER(G130))),ISNUMBER(SEARCH("TLB",UPPER(G130))),ISNUMBER(SEARCH("LINK",UPPER(G130))),ISNUMBER(SEARCH("ROTA",UPPER(G130))),ISNUMBER(SEARCH("ENERGIA",UPPER(G130)))),OR(ISNUMBER(SEARCH("MVC",UPPER(G130))),ISNUMBER(SEARCH("FOTOS",UPPER(G130))),ISNUMBER(SEARCH("DOC",UPPER(G130))),ISNUMBER(SEARCH("TERMO",UPPER(G130))),ISNUMBER(SEARCH("CORREÇÃO",UPPER(G130))),ISNUMBER(SEARCH("CORRECAO",UPPER(G130))))),"🔴🟠 Misto (Telebras + MVC)",
 IF(OR(ISNUMBER(SEARCH("TELEBRAS",UPPER(G130))),ISNUMBER(SEARCH("TLB",UPPER(G130))),ISNUMBER(SEARCH("LINK",UPPER(G130))),ISNUMBER(SEARCH("ROTA",UPPER(G130))),ISNUMBER(SEARCH("ENERGIA",UPPER(G130)))),"🔴 Infraestrutura (Telebras)",
 IF(OR(ISNUMBER(SEARCH("MVC",UPPER(G130))),ISNUMBER(SEARCH("FOTOS",UPPER(G130))),ISNUMBER(SEARCH("DOC",UPPER(G130))),ISNUMBER(SEARCH("TERMO",UPPER(G130))),ISNUMBER(SEARCH("CORREÇÃO",UPPER(G130))),ISNUMBER(SEARCH("CORRECAO",UPPER(G130)))),"🟠 Pendência Operacional (MVC)",
 IF(OR(ISNUMBER(SEARCH("FECHADO",UPPER(G130))),ISNUMBER(SEARCH("HORÁRIO",UPPER(G130))),ISNUMBER(SEARCH("TARDE",UPPER(G130))),ISNUMBER(SEARCH("CORREIOS",UPPER(G130))),ISNUMBER(SEARCH("MATERIAL",UPPER(G130))),ISNUMBER(SEARCH("REAGENDADA",UPPER(G130))),ISNUMBER(SEARCH("REAGENDADO",UPPER(G130))),ISNUMBER(SEARCH("ALLTECH",UPPER(G130))),ISNUMBER(SEARCH("MA",UPPER(G130))),ISNUMBER(SEARCH("SEFAZ",UPPER(G130)))),"🟡 Acesso / Logística",
 IF(OR(ISNUMBER(SEARCH("FINALIZADO",UPPER(G130))),ISNUMBER(SEARCH("FINALIZADA",UPPER(G130))),ISNUMBER(SEARCH("MIGRADA",UPPER(G130)))),"✅ Concluído",
 "Outros / A Verificar"))))))</f>
        <v/>
      </c>
      <c r="I130" s="10"/>
      <c r="J130" s="11"/>
      <c r="K130" s="11" t="str">
        <f t="shared" ref="K130:K193" si="10">IF(J130="","",IF(OR(ISNUMBER(SEARCH("TELEBRAS",UPPER(J130))), ISNUMBER(SEARCH("TLB",UPPER(J130))), ISNUMBER(SEARCH("LINK",UPPER(J130))), ISNUMBER(SEARCH("ROTA",UPPER(J130))), ISNUMBER(SEARCH("ENERGIA",UPPER(J130)))), "🔴 Infraestrutura (Telebras)",
 IF(OR(ISNUMBER(SEARCH("MVC",UPPER(J130))), ISNUMBER(SEARCH("FOTOS",UPPER(J130))), ISNUMBER(SEARCH("DOC",UPPER(J130))), ISNUMBER(SEARCH("TERMO",UPPER(J130))), ISNUMBER(SEARCH("CORREÇÃO",UPPER(J130))), ISNUMBER(SEARCH("CORRECAO",UPPER(J130)))), "🟠 Pendência Operacional (MVC)",
  IF(OR(ISNUMBER(SEARCH("FECHADO",UPPER(J130))), ISNUMBER(SEARCH("HORÁRIO",UPPER(J130))), ISNUMBER(SEARCH("TARDE",UPPER(J130))), ISNUMBER(SEARCH("CORREIOS",UPPER(J130))), ISNUMBER(SEARCH("MATERIAL",UPPER(J130)))), "🟡 Acesso / Logística",
   IF(OR(ISNUMBER(SEARCH("FINALIZADO",UPPER(J130))), ISNUMBER(SEARCH("MIGRADA",UPPER(J130)))), "✅ Concluído",
    "Outros / A Verificar")))))</f>
        <v/>
      </c>
      <c r="L130" s="11"/>
      <c r="M130" s="11"/>
    </row>
    <row r="131" spans="1:13" hidden="1" x14ac:dyDescent="0.25">
      <c r="A131" s="6" t="s">
        <v>288</v>
      </c>
      <c r="B131" s="7" t="s">
        <v>289</v>
      </c>
      <c r="C131" s="8">
        <v>45824</v>
      </c>
      <c r="D131" s="11" t="s">
        <v>15</v>
      </c>
      <c r="E131" s="9" t="str">
        <f t="shared" ref="E131:E194" si="11">IF(D131="","",IF(ISNUMBER(SEARCH("CANCELADO",UPPER(D131))),"CANCELADO",IF(AND(OR(ISNUMBER(SEARCH("TELEBRAS",UPPER(D131))),ISNUMBER(SEARCH("TLB",UPPER(D131))),ISNUMBER(SEARCH("LINK",UPPER(D131))),ISNUMBER(SEARCH("ROTA",UPPER(D131))),ISNUMBER(SEARCH("ENERGIA",UPPER(D131)))),OR(ISNUMBER(SEARCH("MVC",UPPER(D131))),ISNUMBER(SEARCH("FOTOS",UPPER(D131))),ISNUMBER(SEARCH("DOC",UPPER(D131))),ISNUMBER(SEARCH("TERMO",UPPER(D131))),ISNUMBER(SEARCH("CORREÇÃO",UPPER(D131))),ISNUMBER(SEARCH("CORRECAO",UPPER(D131))))),"🔴🟠 Misto (Telebras + MVC)",
IF(OR(ISNUMBER(SEARCH("TELEBRAS",UPPER(D131))),ISNUMBER(SEARCH("TLB",UPPER(D131))),ISNUMBER(SEARCH("LINK",UPPER(D131))),ISNUMBER(SEARCH("ROTA",UPPER(D131))),ISNUMBER(SEARCH("ENERGIA",UPPER(D131)))),"🔴 Infraestrutura (Telebras)",
IF(OR(ISNUMBER(SEARCH("MVC",UPPER(D131))),ISNUMBER(SEARCH("FOTOS",UPPER(D131))),ISNUMBER(SEARCH("DOC",UPPER(D131))),ISNUMBER(SEARCH("TERMO",UPPER(D131))),ISNUMBER(SEARCH("CORREÇÃO",UPPER(D131))),ISNUMBER(SEARCH("CORRECAO",UPPER(D131)))),"🟠 Pendência Operacional (MVC)",
IF(OR(ISNUMBER(SEARCH("FECHADO",UPPER(D131))),ISNUMBER(SEARCH("HORÁRIO",UPPER(D131))),ISNUMBER(SEARCH("TARDE",UPPER(D131))),ISNUMBER(SEARCH("CORREIOS",UPPER(D131))),ISNUMBER(SEARCH("MATERIAL",UPPER(D131))),ISNUMBER(SEARCH("REAGENDADA",UPPER(D131))),ISNUMBER(SEARCH("REAGENDADO",UPPER(D131))),ISNUMBER(SEARCH("ALLTECH",UPPER(D131))),ISNUMBER(SEARCH("MA",UPPER(D131))),ISNUMBER(SEARCH("SEFAZ",UPPER(D131)))),"🟡 Acesso / MA / Logística",
IF(OR(ISNUMBER(SEARCH("FINALIZADO",UPPER(D131))),ISNUMBER(SEARCH("FINALIZADA",UPPER(D131))),ISNUMBER(SEARCH("MIGRADA",UPPER(D131)))),"✅ Concluído",
"A Verificar")))))))</f>
        <v>✅ Concluído</v>
      </c>
      <c r="F131" s="10"/>
      <c r="G131" s="11"/>
      <c r="H131" s="11" t="str">
        <f t="shared" si="9"/>
        <v/>
      </c>
      <c r="I131" s="10"/>
      <c r="J131" s="11"/>
      <c r="K131" s="11" t="str">
        <f t="shared" si="10"/>
        <v/>
      </c>
      <c r="L131" s="11"/>
      <c r="M131" s="11"/>
    </row>
    <row r="132" spans="1:13" hidden="1" x14ac:dyDescent="0.25">
      <c r="A132" s="6" t="s">
        <v>290</v>
      </c>
      <c r="B132" s="7" t="s">
        <v>291</v>
      </c>
      <c r="C132" s="8">
        <v>45834</v>
      </c>
      <c r="D132" s="11" t="s">
        <v>15</v>
      </c>
      <c r="E132" s="9" t="str">
        <f t="shared" si="11"/>
        <v>✅ Concluído</v>
      </c>
      <c r="F132" s="10"/>
      <c r="G132" s="11"/>
      <c r="H132" s="11" t="str">
        <f t="shared" si="9"/>
        <v/>
      </c>
      <c r="I132" s="10"/>
      <c r="J132" s="11"/>
      <c r="K132" s="11" t="str">
        <f t="shared" si="10"/>
        <v/>
      </c>
      <c r="L132" s="11"/>
      <c r="M132" s="11"/>
    </row>
    <row r="133" spans="1:13" hidden="1" x14ac:dyDescent="0.25">
      <c r="A133" s="6" t="s">
        <v>292</v>
      </c>
      <c r="B133" s="7" t="s">
        <v>293</v>
      </c>
      <c r="C133" s="8">
        <v>45896</v>
      </c>
      <c r="D133" s="11" t="s">
        <v>15</v>
      </c>
      <c r="E133" s="9" t="str">
        <f t="shared" si="11"/>
        <v>✅ Concluído</v>
      </c>
      <c r="F133" s="10"/>
      <c r="G133" s="11"/>
      <c r="H133" s="11" t="str">
        <f t="shared" si="9"/>
        <v/>
      </c>
      <c r="I133" s="10"/>
      <c r="J133" s="11"/>
      <c r="K133" s="11" t="str">
        <f t="shared" si="10"/>
        <v/>
      </c>
      <c r="L133" s="11"/>
      <c r="M133" s="11"/>
    </row>
    <row r="134" spans="1:13" ht="24" hidden="1" x14ac:dyDescent="0.25">
      <c r="A134" s="6" t="s">
        <v>294</v>
      </c>
      <c r="B134" s="7" t="s">
        <v>295</v>
      </c>
      <c r="C134" s="8">
        <v>45811</v>
      </c>
      <c r="D134" s="11" t="s">
        <v>296</v>
      </c>
      <c r="E134" s="9" t="str">
        <f t="shared" si="11"/>
        <v>🔴 Infraestrutura (Telebras)</v>
      </c>
      <c r="F134" s="10">
        <v>45887</v>
      </c>
      <c r="G134" s="11" t="s">
        <v>15</v>
      </c>
      <c r="H134" s="11" t="str">
        <f>IF(G134="","",IF(AND(OR(ISNUMBER(SEARCH("TELEBRAS",UPPER(G134))),ISNUMBER(SEARCH("TLB",UPPER(G134))),ISNUMBER(SEARCH("LINK",UPPER(G134))),ISNUMBER(SEARCH("ROTA",UPPER(G134))),ISNUMBER(SEARCH("ENERGIA",UPPER(G134)))),OR(ISNUMBER(SEARCH("MVC",UPPER(G134))),ISNUMBER(SEARCH("FOTOS",UPPER(G134))),ISNUMBER(SEARCH("DOC",UPPER(G134))),ISNUMBER(SEARCH("TERMO",UPPER(G134))),ISNUMBER(SEARCH("CORREÇÃO",UPPER(G134))),ISNUMBER(SEARCH("CORRECAO",UPPER(G134))))),"🔴🟠 Misto (Telebras + MVC)",
 IF(OR(ISNUMBER(SEARCH("TELEBRAS",UPPER(G134))),ISNUMBER(SEARCH("TLB",UPPER(G134))),ISNUMBER(SEARCH("LINK",UPPER(G134))),ISNUMBER(SEARCH("ROTA",UPPER(G134))),ISNUMBER(SEARCH("ENERGIA",UPPER(G134)))),"🔴 Infraestrutura (Telebras)",
 IF(OR(ISNUMBER(SEARCH("MVC",UPPER(G134))),ISNUMBER(SEARCH("FOTOS",UPPER(G134))),ISNUMBER(SEARCH("DOC",UPPER(G134))),ISNUMBER(SEARCH("TERMO",UPPER(G134))),ISNUMBER(SEARCH("CORREÇÃO",UPPER(G134))),ISNUMBER(SEARCH("CORRECAO",UPPER(G134)))),"🟠 Pendência Operacional (MVC)",
 IF(OR(ISNUMBER(SEARCH("FECHADO",UPPER(G134))),ISNUMBER(SEARCH("HORÁRIO",UPPER(G134))),ISNUMBER(SEARCH("TARDE",UPPER(G134))),ISNUMBER(SEARCH("CORREIOS",UPPER(G134))),ISNUMBER(SEARCH("MATERIAL",UPPER(G134))),ISNUMBER(SEARCH("REAGENDADA",UPPER(G134))),ISNUMBER(SEARCH("REAGENDADO",UPPER(G134))),ISNUMBER(SEARCH("ALLTECH",UPPER(G134))),ISNUMBER(SEARCH("MA",UPPER(G134))),ISNUMBER(SEARCH("SEFAZ",UPPER(G134)))),"🟡 Acesso / MA / Logística",
 IF(OR(ISNUMBER(SEARCH("FINALIZADO",UPPER(G134))),ISNUMBER(SEARCH("FINALIZADA",UPPER(G134))),ISNUMBER(SEARCH("MIGRADA",UPPER(G134)))),"✅ Concluído",
 "Outros / A Verificar"))))))</f>
        <v>✅ Concluído</v>
      </c>
      <c r="I134" s="10"/>
      <c r="J134" s="11"/>
      <c r="K134" s="11" t="str">
        <f t="shared" si="10"/>
        <v/>
      </c>
      <c r="L134" s="11"/>
      <c r="M134" s="11"/>
    </row>
    <row r="135" spans="1:13" hidden="1" x14ac:dyDescent="0.25">
      <c r="A135" s="6" t="s">
        <v>297</v>
      </c>
      <c r="B135" s="7" t="s">
        <v>298</v>
      </c>
      <c r="C135" s="8">
        <v>45820</v>
      </c>
      <c r="D135" s="11" t="s">
        <v>15</v>
      </c>
      <c r="E135" s="9" t="str">
        <f t="shared" si="11"/>
        <v>✅ Concluído</v>
      </c>
      <c r="F135" s="10"/>
      <c r="G135" s="11"/>
      <c r="H135" s="11" t="str">
        <f t="shared" si="9"/>
        <v/>
      </c>
      <c r="I135" s="10"/>
      <c r="J135" s="11"/>
      <c r="K135" s="11" t="str">
        <f t="shared" si="10"/>
        <v/>
      </c>
      <c r="L135" s="11"/>
      <c r="M135" s="11"/>
    </row>
    <row r="136" spans="1:13" hidden="1" x14ac:dyDescent="0.25">
      <c r="A136" s="6" t="s">
        <v>299</v>
      </c>
      <c r="B136" s="7" t="s">
        <v>300</v>
      </c>
      <c r="C136" s="8">
        <v>45792</v>
      </c>
      <c r="D136" s="9" t="s">
        <v>15</v>
      </c>
      <c r="E136" s="9" t="str">
        <f t="shared" si="11"/>
        <v>✅ Concluído</v>
      </c>
      <c r="F136" s="10"/>
      <c r="G136" s="11"/>
      <c r="H136" s="11" t="str">
        <f t="shared" si="9"/>
        <v/>
      </c>
      <c r="I136" s="10"/>
      <c r="J136" s="11"/>
      <c r="K136" s="11" t="str">
        <f t="shared" si="10"/>
        <v/>
      </c>
      <c r="L136" s="11"/>
      <c r="M136" s="11"/>
    </row>
    <row r="137" spans="1:13" ht="24" hidden="1" x14ac:dyDescent="0.25">
      <c r="A137" s="6" t="s">
        <v>301</v>
      </c>
      <c r="B137" s="7" t="s">
        <v>302</v>
      </c>
      <c r="C137" s="8">
        <v>45909</v>
      </c>
      <c r="D137" s="11" t="s">
        <v>303</v>
      </c>
      <c r="E137" s="9" t="str">
        <f t="shared" si="11"/>
        <v>🔴 Infraestrutura (Telebras)</v>
      </c>
      <c r="F137" s="10">
        <v>45978</v>
      </c>
      <c r="G137" s="11" t="s">
        <v>15</v>
      </c>
      <c r="H137" s="11" t="str">
        <f>IF(G137="","",IF(AND(OR(ISNUMBER(SEARCH("TELEBRAS",UPPER(G137))),ISNUMBER(SEARCH("TLB",UPPER(G137))),ISNUMBER(SEARCH("LINK",UPPER(G137))),ISNUMBER(SEARCH("ROTA",UPPER(G137))),ISNUMBER(SEARCH("ENERGIA",UPPER(G137)))),OR(ISNUMBER(SEARCH("MVC",UPPER(G137))),ISNUMBER(SEARCH("FOTOS",UPPER(G137))),ISNUMBER(SEARCH("DOC",UPPER(G137))),ISNUMBER(SEARCH("TERMO",UPPER(G137))),ISNUMBER(SEARCH("CORREÇÃO",UPPER(G137))),ISNUMBER(SEARCH("CORRECAO",UPPER(G137))))),"🔴🟠 Misto (Telebras + MVC)",
 IF(OR(ISNUMBER(SEARCH("TELEBRAS",UPPER(G137))),ISNUMBER(SEARCH("TLB",UPPER(G137))),ISNUMBER(SEARCH("LINK",UPPER(G137))),ISNUMBER(SEARCH("ROTA",UPPER(G137))),ISNUMBER(SEARCH("ENERGIA",UPPER(G137)))),"🔴 Infraestrutura (Telebras)",
 IF(OR(ISNUMBER(SEARCH("MVC",UPPER(G137))),ISNUMBER(SEARCH("FOTOS",UPPER(G137))),ISNUMBER(SEARCH("DOC",UPPER(G137))),ISNUMBER(SEARCH("TERMO",UPPER(G137))),ISNUMBER(SEARCH("CORREÇÃO",UPPER(G137))),ISNUMBER(SEARCH("CORRECAO",UPPER(G137)))),"🟠 Pendência Operacional (MVC)",
 IF(OR(ISNUMBER(SEARCH("FECHADO",UPPER(G137))),ISNUMBER(SEARCH("HORÁRIO",UPPER(G137))),ISNUMBER(SEARCH("TARDE",UPPER(G137))),ISNUMBER(SEARCH("CORREIOS",UPPER(G137))),ISNUMBER(SEARCH("MATERIAL",UPPER(G137))),ISNUMBER(SEARCH("REAGENDADA",UPPER(G137))),ISNUMBER(SEARCH("REAGENDADO",UPPER(G137))),ISNUMBER(SEARCH("ALLTECH",UPPER(G137))),ISNUMBER(SEARCH("MA",UPPER(G137))),ISNUMBER(SEARCH("SEFAZ",UPPER(G137)))),"🟡 Acesso / MA / Logística",
 IF(OR(ISNUMBER(SEARCH("FINALIZADO",UPPER(G137))),ISNUMBER(SEARCH("FINALIZADA",UPPER(G137))),ISNUMBER(SEARCH("MIGRADA",UPPER(G137)))),"✅ Concluído",
 "Outros / A Verificar"))))))</f>
        <v>✅ Concluído</v>
      </c>
      <c r="I137" s="10"/>
      <c r="J137" s="11"/>
      <c r="K137" s="11" t="str">
        <f t="shared" si="10"/>
        <v/>
      </c>
      <c r="L137" s="11"/>
      <c r="M137" s="11"/>
    </row>
    <row r="138" spans="1:13" hidden="1" x14ac:dyDescent="0.25">
      <c r="A138" s="6" t="s">
        <v>304</v>
      </c>
      <c r="B138" s="7" t="s">
        <v>305</v>
      </c>
      <c r="C138" s="8">
        <v>45888</v>
      </c>
      <c r="D138" s="11" t="s">
        <v>15</v>
      </c>
      <c r="E138" s="9" t="str">
        <f t="shared" si="11"/>
        <v>✅ Concluído</v>
      </c>
      <c r="F138" s="10"/>
      <c r="G138" s="11"/>
      <c r="H138" s="11" t="str">
        <f t="shared" si="9"/>
        <v/>
      </c>
      <c r="I138" s="10"/>
      <c r="J138" s="11"/>
      <c r="K138" s="11" t="str">
        <f t="shared" si="10"/>
        <v/>
      </c>
      <c r="L138" s="11"/>
      <c r="M138" s="11"/>
    </row>
    <row r="139" spans="1:13" ht="48" hidden="1" x14ac:dyDescent="0.25">
      <c r="A139" s="6" t="s">
        <v>306</v>
      </c>
      <c r="B139" s="7" t="s">
        <v>307</v>
      </c>
      <c r="C139" s="8">
        <v>45880</v>
      </c>
      <c r="D139" s="11" t="s">
        <v>861</v>
      </c>
      <c r="E139" s="9" t="str">
        <f t="shared" si="11"/>
        <v>🔴🟠 Misto (Telebras + MVC)</v>
      </c>
      <c r="F139" s="10">
        <v>45898</v>
      </c>
      <c r="G139" s="11" t="s">
        <v>14</v>
      </c>
      <c r="H139" s="11" t="str">
        <f>IF(G139="","",IF(AND(OR(ISNUMBER(SEARCH("TELEBRAS",UPPER(G139))),ISNUMBER(SEARCH("TLB",UPPER(G139))),ISNUMBER(SEARCH("LINK",UPPER(G139))),ISNUMBER(SEARCH("ROTA",UPPER(G139))),ISNUMBER(SEARCH("ENERGIA",UPPER(G139)))),OR(ISNUMBER(SEARCH("MVC",UPPER(G139))),ISNUMBER(SEARCH("FOTOS",UPPER(G139))),ISNUMBER(SEARCH("DOC",UPPER(G139))),ISNUMBER(SEARCH("TERMO",UPPER(G139))),ISNUMBER(SEARCH("CORREÇÃO",UPPER(G139))),ISNUMBER(SEARCH("CORRECAO",UPPER(G139))))),"🔴🟠 Misto (Telebras + MVC)",
 IF(OR(ISNUMBER(SEARCH("TELEBRAS",UPPER(G139))),ISNUMBER(SEARCH("TLB",UPPER(G139))),ISNUMBER(SEARCH("LINK",UPPER(G139))),ISNUMBER(SEARCH("ROTA",UPPER(G139))),ISNUMBER(SEARCH("ENERGIA",UPPER(G139)))),"🔴 Infraestrutura (Telebras)",
 IF(OR(ISNUMBER(SEARCH("MVC",UPPER(G139))),ISNUMBER(SEARCH("FOTOS",UPPER(G139))),ISNUMBER(SEARCH("DOC",UPPER(G139))),ISNUMBER(SEARCH("TERMO",UPPER(G139))),ISNUMBER(SEARCH("CORREÇÃO",UPPER(G139))),ISNUMBER(SEARCH("CORRECAO",UPPER(G139)))),"🟠 Pendência Operacional (MVC)",
 IF(OR(ISNUMBER(SEARCH("FECHADO",UPPER(G139))),ISNUMBER(SEARCH("HORÁRIO",UPPER(G139))),ISNUMBER(SEARCH("TARDE",UPPER(G139))),ISNUMBER(SEARCH("CORREIOS",UPPER(G139))),ISNUMBER(SEARCH("MATERIAL",UPPER(G139))),ISNUMBER(SEARCH("REAGENDADA",UPPER(G139))),ISNUMBER(SEARCH("REAGENDADO",UPPER(G139))),ISNUMBER(SEARCH("ALLTECH",UPPER(G139))),ISNUMBER(SEARCH("MA",UPPER(G139))),ISNUMBER(SEARCH("SEFAZ",UPPER(G139)))),"🟡 Acesso / MA / Logística",
 IF(OR(ISNUMBER(SEARCH("FINALIZADO",UPPER(G139))),ISNUMBER(SEARCH("FINALIZADA",UPPER(G139))),ISNUMBER(SEARCH("MIGRADA",UPPER(G139)))),"✅ Concluído",
 "Outros / A Verificar"))))))</f>
        <v>🟠 Pendência Operacional (MVC)</v>
      </c>
      <c r="I139" s="10">
        <v>45929</v>
      </c>
      <c r="J139" s="11" t="s">
        <v>15</v>
      </c>
      <c r="K139" s="11" t="str">
        <f t="shared" si="10"/>
        <v>✅ Concluído</v>
      </c>
      <c r="L139" s="11"/>
      <c r="M139" s="11"/>
    </row>
    <row r="140" spans="1:13" ht="36" hidden="1" x14ac:dyDescent="0.25">
      <c r="A140" s="6" t="s">
        <v>308</v>
      </c>
      <c r="B140" s="7" t="s">
        <v>309</v>
      </c>
      <c r="C140" s="8">
        <v>45901</v>
      </c>
      <c r="D140" s="11" t="s">
        <v>310</v>
      </c>
      <c r="E140" s="9" t="str">
        <f t="shared" si="11"/>
        <v>🔴 Infraestrutura (Telebras)</v>
      </c>
      <c r="F140" s="10"/>
      <c r="G140" s="11"/>
      <c r="H140" s="11" t="str">
        <f t="shared" si="9"/>
        <v/>
      </c>
      <c r="I140" s="10"/>
      <c r="J140" s="11"/>
      <c r="K140" s="11" t="str">
        <f t="shared" si="10"/>
        <v/>
      </c>
      <c r="L140" s="11"/>
      <c r="M140" s="11"/>
    </row>
    <row r="141" spans="1:13" hidden="1" x14ac:dyDescent="0.25">
      <c r="A141" s="6" t="s">
        <v>311</v>
      </c>
      <c r="B141" s="7" t="s">
        <v>312</v>
      </c>
      <c r="C141" s="8">
        <v>45889</v>
      </c>
      <c r="D141" s="9" t="s">
        <v>15</v>
      </c>
      <c r="E141" s="9" t="str">
        <f t="shared" si="11"/>
        <v>✅ Concluído</v>
      </c>
      <c r="F141" s="10"/>
      <c r="G141" s="11"/>
      <c r="H141" s="11" t="str">
        <f t="shared" si="9"/>
        <v/>
      </c>
      <c r="I141" s="10"/>
      <c r="J141" s="11"/>
      <c r="K141" s="11" t="str">
        <f t="shared" si="10"/>
        <v/>
      </c>
      <c r="L141" s="11"/>
      <c r="M141" s="11"/>
    </row>
    <row r="142" spans="1:13" hidden="1" x14ac:dyDescent="0.25">
      <c r="A142" s="6" t="s">
        <v>313</v>
      </c>
      <c r="B142" s="7" t="s">
        <v>314</v>
      </c>
      <c r="C142" s="8">
        <v>45881</v>
      </c>
      <c r="D142" s="11" t="s">
        <v>862</v>
      </c>
      <c r="E142" s="9" t="str">
        <f t="shared" si="11"/>
        <v>🟠 Pendência Operacional (MVC)</v>
      </c>
      <c r="F142" s="10">
        <v>45989</v>
      </c>
      <c r="G142" s="11" t="s">
        <v>15</v>
      </c>
      <c r="H142" s="11" t="str">
        <f t="shared" si="9"/>
        <v>✅ Concluído</v>
      </c>
      <c r="I142" s="10"/>
      <c r="J142" s="11"/>
      <c r="K142" s="11" t="str">
        <f t="shared" si="10"/>
        <v/>
      </c>
      <c r="L142" s="11"/>
      <c r="M142" s="11"/>
    </row>
    <row r="143" spans="1:13" hidden="1" x14ac:dyDescent="0.25">
      <c r="A143" s="6" t="s">
        <v>315</v>
      </c>
      <c r="B143" s="7" t="s">
        <v>316</v>
      </c>
      <c r="C143" s="8">
        <v>45884</v>
      </c>
      <c r="D143" s="11" t="s">
        <v>650</v>
      </c>
      <c r="E143" s="9" t="str">
        <f t="shared" si="11"/>
        <v>🔴 Infraestrutura (Telebras)</v>
      </c>
      <c r="F143" s="10"/>
      <c r="G143" s="11"/>
      <c r="H143" s="11" t="str">
        <f t="shared" si="9"/>
        <v/>
      </c>
      <c r="I143" s="10"/>
      <c r="J143" s="11"/>
      <c r="K143" s="11" t="str">
        <f t="shared" si="10"/>
        <v/>
      </c>
      <c r="L143" s="11"/>
      <c r="M143" s="11"/>
    </row>
    <row r="144" spans="1:13" hidden="1" x14ac:dyDescent="0.25">
      <c r="A144" s="6" t="s">
        <v>317</v>
      </c>
      <c r="B144" s="7" t="s">
        <v>318</v>
      </c>
      <c r="C144" s="8">
        <v>45882</v>
      </c>
      <c r="D144" s="11" t="s">
        <v>15</v>
      </c>
      <c r="E144" s="9" t="str">
        <f t="shared" si="11"/>
        <v>✅ Concluído</v>
      </c>
      <c r="F144" s="10"/>
      <c r="G144" s="11"/>
      <c r="H144" s="11" t="str">
        <f t="shared" si="9"/>
        <v/>
      </c>
      <c r="I144" s="10"/>
      <c r="J144" s="11"/>
      <c r="K144" s="11" t="str">
        <f t="shared" si="10"/>
        <v/>
      </c>
      <c r="L144" s="11"/>
      <c r="M144" s="11"/>
    </row>
    <row r="145" spans="1:13" hidden="1" x14ac:dyDescent="0.25">
      <c r="A145" s="6" t="s">
        <v>319</v>
      </c>
      <c r="B145" s="7" t="s">
        <v>320</v>
      </c>
      <c r="C145" s="8">
        <v>45897</v>
      </c>
      <c r="D145" s="11" t="s">
        <v>15</v>
      </c>
      <c r="E145" s="9" t="str">
        <f t="shared" si="11"/>
        <v>✅ Concluído</v>
      </c>
      <c r="F145" s="10"/>
      <c r="G145" s="11"/>
      <c r="H145" s="11" t="str">
        <f t="shared" si="9"/>
        <v/>
      </c>
      <c r="I145" s="10"/>
      <c r="J145" s="11"/>
      <c r="K145" s="11" t="str">
        <f t="shared" si="10"/>
        <v/>
      </c>
      <c r="L145" s="11"/>
      <c r="M145" s="11"/>
    </row>
    <row r="146" spans="1:13" hidden="1" x14ac:dyDescent="0.25">
      <c r="A146" s="6" t="s">
        <v>321</v>
      </c>
      <c r="B146" s="7" t="s">
        <v>322</v>
      </c>
      <c r="C146" s="8">
        <v>45883</v>
      </c>
      <c r="D146" s="11" t="s">
        <v>15</v>
      </c>
      <c r="E146" s="9" t="str">
        <f t="shared" si="11"/>
        <v>✅ Concluído</v>
      </c>
      <c r="F146" s="10"/>
      <c r="G146" s="11"/>
      <c r="H146" s="11" t="str">
        <f t="shared" si="9"/>
        <v/>
      </c>
      <c r="I146" s="10"/>
      <c r="J146" s="11"/>
      <c r="K146" s="11" t="str">
        <f t="shared" si="10"/>
        <v/>
      </c>
      <c r="L146" s="11"/>
      <c r="M146" s="11"/>
    </row>
    <row r="147" spans="1:13" hidden="1" x14ac:dyDescent="0.25">
      <c r="A147" s="6" t="s">
        <v>323</v>
      </c>
      <c r="B147" s="7" t="s">
        <v>324</v>
      </c>
      <c r="C147" s="8">
        <v>45910</v>
      </c>
      <c r="D147" s="11" t="s">
        <v>15</v>
      </c>
      <c r="E147" s="9" t="str">
        <f t="shared" si="11"/>
        <v>✅ Concluído</v>
      </c>
      <c r="F147" s="10"/>
      <c r="G147" s="11"/>
      <c r="H147" s="11" t="str">
        <f t="shared" si="9"/>
        <v/>
      </c>
      <c r="I147" s="10"/>
      <c r="J147" s="11"/>
      <c r="K147" s="11" t="str">
        <f t="shared" si="10"/>
        <v/>
      </c>
      <c r="L147" s="11"/>
      <c r="M147" s="11"/>
    </row>
    <row r="148" spans="1:13" hidden="1" x14ac:dyDescent="0.25">
      <c r="A148" s="6" t="s">
        <v>325</v>
      </c>
      <c r="B148" s="7" t="s">
        <v>326</v>
      </c>
      <c r="C148" s="8">
        <v>45796</v>
      </c>
      <c r="D148" s="9" t="s">
        <v>15</v>
      </c>
      <c r="E148" s="9" t="str">
        <f t="shared" si="11"/>
        <v>✅ Concluído</v>
      </c>
      <c r="F148" s="10"/>
      <c r="G148" s="11"/>
      <c r="H148" s="11" t="str">
        <f t="shared" si="9"/>
        <v/>
      </c>
      <c r="I148" s="10"/>
      <c r="J148" s="11"/>
      <c r="K148" s="11" t="str">
        <f t="shared" si="10"/>
        <v/>
      </c>
      <c r="L148" s="11"/>
      <c r="M148" s="11"/>
    </row>
    <row r="149" spans="1:13" hidden="1" x14ac:dyDescent="0.25">
      <c r="A149" s="6" t="s">
        <v>327</v>
      </c>
      <c r="B149" s="7" t="s">
        <v>328</v>
      </c>
      <c r="C149" s="8">
        <v>45894</v>
      </c>
      <c r="D149" s="11" t="s">
        <v>15</v>
      </c>
      <c r="E149" s="9" t="str">
        <f t="shared" si="11"/>
        <v>✅ Concluído</v>
      </c>
      <c r="F149" s="10"/>
      <c r="G149" s="11"/>
      <c r="H149" s="11" t="str">
        <f t="shared" si="9"/>
        <v/>
      </c>
      <c r="I149" s="10"/>
      <c r="J149" s="11"/>
      <c r="K149" s="11" t="str">
        <f t="shared" si="10"/>
        <v/>
      </c>
      <c r="L149" s="11"/>
      <c r="M149" s="11"/>
    </row>
    <row r="150" spans="1:13" hidden="1" x14ac:dyDescent="0.25">
      <c r="A150" s="6" t="s">
        <v>329</v>
      </c>
      <c r="B150" s="7" t="s">
        <v>330</v>
      </c>
      <c r="C150" s="8">
        <v>45811</v>
      </c>
      <c r="D150" s="11" t="s">
        <v>15</v>
      </c>
      <c r="E150" s="9" t="str">
        <f t="shared" si="11"/>
        <v>✅ Concluído</v>
      </c>
      <c r="F150" s="10"/>
      <c r="G150" s="11"/>
      <c r="H150" s="11" t="str">
        <f t="shared" si="9"/>
        <v/>
      </c>
      <c r="I150" s="10"/>
      <c r="J150" s="11"/>
      <c r="K150" s="11" t="str">
        <f t="shared" si="10"/>
        <v/>
      </c>
      <c r="L150" s="11"/>
      <c r="M150" s="11"/>
    </row>
    <row r="151" spans="1:13" hidden="1" x14ac:dyDescent="0.25">
      <c r="A151" s="6" t="s">
        <v>331</v>
      </c>
      <c r="B151" s="7" t="s">
        <v>332</v>
      </c>
      <c r="C151" s="8">
        <v>45891</v>
      </c>
      <c r="D151" s="11" t="s">
        <v>15</v>
      </c>
      <c r="E151" s="9" t="str">
        <f t="shared" si="11"/>
        <v>✅ Concluído</v>
      </c>
      <c r="F151" s="10"/>
      <c r="G151" s="11"/>
      <c r="H151" s="11" t="str">
        <f t="shared" si="9"/>
        <v/>
      </c>
      <c r="I151" s="10"/>
      <c r="J151" s="11"/>
      <c r="K151" s="11" t="str">
        <f t="shared" si="10"/>
        <v/>
      </c>
      <c r="L151" s="11"/>
      <c r="M151" s="11"/>
    </row>
    <row r="152" spans="1:13" hidden="1" x14ac:dyDescent="0.25">
      <c r="A152" s="6" t="s">
        <v>333</v>
      </c>
      <c r="B152" s="7" t="s">
        <v>334</v>
      </c>
      <c r="C152" s="8">
        <v>45812</v>
      </c>
      <c r="D152" s="11" t="s">
        <v>15</v>
      </c>
      <c r="E152" s="9" t="str">
        <f t="shared" si="11"/>
        <v>✅ Concluído</v>
      </c>
      <c r="F152" s="10"/>
      <c r="G152" s="11"/>
      <c r="H152" s="11" t="str">
        <f t="shared" si="9"/>
        <v/>
      </c>
      <c r="I152" s="10"/>
      <c r="J152" s="11"/>
      <c r="K152" s="11" t="str">
        <f t="shared" si="10"/>
        <v/>
      </c>
      <c r="L152" s="11"/>
      <c r="M152" s="11"/>
    </row>
    <row r="153" spans="1:13" hidden="1" x14ac:dyDescent="0.25">
      <c r="A153" s="6" t="s">
        <v>335</v>
      </c>
      <c r="B153" s="7" t="s">
        <v>336</v>
      </c>
      <c r="C153" s="8">
        <v>45803</v>
      </c>
      <c r="D153" s="9" t="s">
        <v>863</v>
      </c>
      <c r="E153" s="9" t="str">
        <f t="shared" si="11"/>
        <v>CANCELADO</v>
      </c>
      <c r="F153" s="10"/>
      <c r="G153" s="11"/>
      <c r="H153" s="11" t="str">
        <f t="shared" si="9"/>
        <v/>
      </c>
      <c r="I153" s="10"/>
      <c r="J153" s="11"/>
      <c r="K153" s="11" t="str">
        <f t="shared" si="10"/>
        <v/>
      </c>
      <c r="L153" s="11"/>
      <c r="M153" s="11"/>
    </row>
    <row r="154" spans="1:13" hidden="1" x14ac:dyDescent="0.25">
      <c r="A154" s="6" t="s">
        <v>337</v>
      </c>
      <c r="B154" s="7" t="s">
        <v>338</v>
      </c>
      <c r="C154" s="8">
        <v>45786</v>
      </c>
      <c r="D154" s="9" t="s">
        <v>15</v>
      </c>
      <c r="E154" s="9" t="str">
        <f t="shared" si="11"/>
        <v>✅ Concluído</v>
      </c>
      <c r="F154" s="10"/>
      <c r="G154" s="11"/>
      <c r="H154" s="11" t="str">
        <f t="shared" si="9"/>
        <v/>
      </c>
      <c r="I154" s="10"/>
      <c r="J154" s="11"/>
      <c r="K154" s="11" t="str">
        <f t="shared" si="10"/>
        <v/>
      </c>
      <c r="L154" s="11"/>
      <c r="M154" s="11"/>
    </row>
    <row r="155" spans="1:13" hidden="1" x14ac:dyDescent="0.25">
      <c r="A155" s="6" t="s">
        <v>339</v>
      </c>
      <c r="B155" s="7" t="s">
        <v>340</v>
      </c>
      <c r="C155" s="8">
        <v>45800</v>
      </c>
      <c r="D155" s="11" t="s">
        <v>15</v>
      </c>
      <c r="E155" s="9" t="str">
        <f t="shared" si="11"/>
        <v>✅ Concluído</v>
      </c>
      <c r="F155" s="10"/>
      <c r="G155" s="11"/>
      <c r="H155" s="11" t="str">
        <f t="shared" si="9"/>
        <v/>
      </c>
      <c r="I155" s="10"/>
      <c r="J155" s="11"/>
      <c r="K155" s="11" t="str">
        <f t="shared" si="10"/>
        <v/>
      </c>
      <c r="L155" s="11"/>
      <c r="M155" s="11"/>
    </row>
    <row r="156" spans="1:13" hidden="1" x14ac:dyDescent="0.25">
      <c r="A156" s="6" t="s">
        <v>341</v>
      </c>
      <c r="B156" s="7" t="s">
        <v>342</v>
      </c>
      <c r="C156" s="8">
        <v>45890</v>
      </c>
      <c r="D156" s="11" t="s">
        <v>15</v>
      </c>
      <c r="E156" s="9" t="str">
        <f t="shared" si="11"/>
        <v>✅ Concluído</v>
      </c>
      <c r="F156" s="10"/>
      <c r="G156" s="11"/>
      <c r="H156" s="11" t="str">
        <f t="shared" si="9"/>
        <v/>
      </c>
      <c r="I156" s="10"/>
      <c r="J156" s="11"/>
      <c r="K156" s="11" t="str">
        <f t="shared" si="10"/>
        <v/>
      </c>
      <c r="L156" s="11"/>
      <c r="M156" s="11"/>
    </row>
    <row r="157" spans="1:13" hidden="1" x14ac:dyDescent="0.25">
      <c r="A157" s="6" t="s">
        <v>343</v>
      </c>
      <c r="B157" s="7" t="s">
        <v>344</v>
      </c>
      <c r="C157" s="8">
        <v>45825</v>
      </c>
      <c r="D157" s="9" t="s">
        <v>863</v>
      </c>
      <c r="E157" s="9" t="str">
        <f t="shared" si="11"/>
        <v>CANCELADO</v>
      </c>
      <c r="F157" s="10"/>
      <c r="G157" s="11"/>
      <c r="H157" s="11" t="str">
        <f t="shared" si="9"/>
        <v/>
      </c>
      <c r="I157" s="10"/>
      <c r="J157" s="11"/>
      <c r="K157" s="11" t="str">
        <f t="shared" si="10"/>
        <v/>
      </c>
      <c r="L157" s="11"/>
      <c r="M157" s="11"/>
    </row>
    <row r="158" spans="1:13" hidden="1" x14ac:dyDescent="0.25">
      <c r="A158" s="6" t="s">
        <v>345</v>
      </c>
      <c r="B158" s="7" t="s">
        <v>346</v>
      </c>
      <c r="C158" s="8">
        <v>45883</v>
      </c>
      <c r="D158" s="11" t="s">
        <v>15</v>
      </c>
      <c r="E158" s="9" t="str">
        <f t="shared" si="11"/>
        <v>✅ Concluído</v>
      </c>
      <c r="F158" s="10"/>
      <c r="G158" s="11"/>
      <c r="H158" s="11" t="str">
        <f t="shared" si="9"/>
        <v/>
      </c>
      <c r="I158" s="10"/>
      <c r="J158" s="11"/>
      <c r="K158" s="11" t="str">
        <f t="shared" si="10"/>
        <v/>
      </c>
      <c r="L158" s="11"/>
      <c r="M158" s="11"/>
    </row>
    <row r="159" spans="1:13" ht="24" hidden="1" x14ac:dyDescent="0.25">
      <c r="A159" s="6" t="s">
        <v>347</v>
      </c>
      <c r="B159" s="7" t="s">
        <v>348</v>
      </c>
      <c r="C159" s="8">
        <v>45860</v>
      </c>
      <c r="D159" s="11" t="s">
        <v>349</v>
      </c>
      <c r="E159" s="9" t="str">
        <f t="shared" si="11"/>
        <v>🟡 Acesso / MA / Logística</v>
      </c>
      <c r="F159" s="10">
        <v>45861</v>
      </c>
      <c r="G159" s="11" t="s">
        <v>15</v>
      </c>
      <c r="H159" s="11" t="str">
        <f t="shared" ref="H159:H163" si="12">IF(G159="","",IF(AND(OR(ISNUMBER(SEARCH("TELEBRAS",UPPER(G159))),ISNUMBER(SEARCH("TLB",UPPER(G159))),ISNUMBER(SEARCH("LINK",UPPER(G159))),ISNUMBER(SEARCH("ROTA",UPPER(G159))),ISNUMBER(SEARCH("ENERGIA",UPPER(G159)))),OR(ISNUMBER(SEARCH("MVC",UPPER(G159))),ISNUMBER(SEARCH("FOTOS",UPPER(G159))),ISNUMBER(SEARCH("DOC",UPPER(G159))),ISNUMBER(SEARCH("TERMO",UPPER(G159))),ISNUMBER(SEARCH("CORREÇÃO",UPPER(G159))),ISNUMBER(SEARCH("CORRECAO",UPPER(G159))))),"🔴🟠 Misto (Telebras + MVC)",
 IF(OR(ISNUMBER(SEARCH("TELEBRAS",UPPER(G159))),ISNUMBER(SEARCH("TLB",UPPER(G159))),ISNUMBER(SEARCH("LINK",UPPER(G159))),ISNUMBER(SEARCH("ROTA",UPPER(G159))),ISNUMBER(SEARCH("ENERGIA",UPPER(G159)))),"🔴 Infraestrutura (Telebras)",
 IF(OR(ISNUMBER(SEARCH("MVC",UPPER(G159))),ISNUMBER(SEARCH("FOTOS",UPPER(G159))),ISNUMBER(SEARCH("DOC",UPPER(G159))),ISNUMBER(SEARCH("TERMO",UPPER(G159))),ISNUMBER(SEARCH("CORREÇÃO",UPPER(G159))),ISNUMBER(SEARCH("CORRECAO",UPPER(G159)))),"🟠 Pendência Operacional (MVC)",
 IF(OR(ISNUMBER(SEARCH("FECHADO",UPPER(G159))),ISNUMBER(SEARCH("HORÁRIO",UPPER(G159))),ISNUMBER(SEARCH("TARDE",UPPER(G159))),ISNUMBER(SEARCH("CORREIOS",UPPER(G159))),ISNUMBER(SEARCH("MATERIAL",UPPER(G159))),ISNUMBER(SEARCH("REAGENDADA",UPPER(G159))),ISNUMBER(SEARCH("REAGENDADO",UPPER(G159))),ISNUMBER(SEARCH("ALLTECH",UPPER(G159))),ISNUMBER(SEARCH("MA",UPPER(G159))),ISNUMBER(SEARCH("SEFAZ",UPPER(G159)))),"🟡 Acesso / MA / Logística",
 IF(OR(ISNUMBER(SEARCH("FINALIZADO",UPPER(G159))),ISNUMBER(SEARCH("FINALIZADA",UPPER(G159))),ISNUMBER(SEARCH("MIGRADA",UPPER(G159)))),"✅ Concluído",
 "Outros / A Verificar"))))))</f>
        <v>✅ Concluído</v>
      </c>
      <c r="I159" s="10"/>
      <c r="J159" s="11"/>
      <c r="K159" s="11" t="str">
        <f t="shared" si="10"/>
        <v/>
      </c>
      <c r="L159" s="11"/>
      <c r="M159" s="11"/>
    </row>
    <row r="160" spans="1:13" hidden="1" x14ac:dyDescent="0.25">
      <c r="A160" s="6" t="s">
        <v>350</v>
      </c>
      <c r="B160" s="7" t="s">
        <v>351</v>
      </c>
      <c r="C160" s="8">
        <v>45789</v>
      </c>
      <c r="D160" s="11" t="s">
        <v>14</v>
      </c>
      <c r="E160" s="9" t="str">
        <f t="shared" si="11"/>
        <v>🟠 Pendência Operacional (MVC)</v>
      </c>
      <c r="F160" s="10">
        <v>45912</v>
      </c>
      <c r="G160" s="11" t="s">
        <v>15</v>
      </c>
      <c r="H160" s="11" t="str">
        <f t="shared" si="12"/>
        <v>✅ Concluído</v>
      </c>
      <c r="I160" s="10"/>
      <c r="J160" s="11"/>
      <c r="K160" s="11" t="str">
        <f t="shared" si="10"/>
        <v/>
      </c>
      <c r="L160" s="11"/>
      <c r="M160" s="11"/>
    </row>
    <row r="161" spans="1:13" ht="60" hidden="1" x14ac:dyDescent="0.25">
      <c r="A161" s="6" t="s">
        <v>352</v>
      </c>
      <c r="B161" s="7" t="s">
        <v>353</v>
      </c>
      <c r="C161" s="8">
        <v>45847</v>
      </c>
      <c r="D161" s="11" t="s">
        <v>650</v>
      </c>
      <c r="E161" s="9" t="str">
        <f t="shared" si="11"/>
        <v>🔴 Infraestrutura (Telebras)</v>
      </c>
      <c r="F161" s="10">
        <v>45875</v>
      </c>
      <c r="G161" s="11" t="s">
        <v>354</v>
      </c>
      <c r="H161" s="11" t="str">
        <f t="shared" si="12"/>
        <v>🔴 Infraestrutura (Telebras)</v>
      </c>
      <c r="I161" s="10">
        <v>45880</v>
      </c>
      <c r="J161" s="11" t="s">
        <v>15</v>
      </c>
      <c r="K161" s="11" t="str">
        <f t="shared" si="10"/>
        <v>✅ Concluído</v>
      </c>
      <c r="L161" s="11"/>
      <c r="M161" s="11"/>
    </row>
    <row r="162" spans="1:13" hidden="1" x14ac:dyDescent="0.25">
      <c r="A162" s="6" t="s">
        <v>355</v>
      </c>
      <c r="B162" s="7" t="s">
        <v>356</v>
      </c>
      <c r="C162" s="8">
        <v>45814</v>
      </c>
      <c r="D162" s="11" t="s">
        <v>650</v>
      </c>
      <c r="E162" s="9" t="str">
        <f t="shared" si="11"/>
        <v>🔴 Infraestrutura (Telebras)</v>
      </c>
      <c r="F162" s="10">
        <v>45859</v>
      </c>
      <c r="G162" s="11" t="s">
        <v>357</v>
      </c>
      <c r="H162" s="11" t="str">
        <f t="shared" si="12"/>
        <v>🔴🟠 Misto (Telebras + MVC)</v>
      </c>
      <c r="I162" s="10">
        <v>45947</v>
      </c>
      <c r="J162" s="11" t="s">
        <v>15</v>
      </c>
      <c r="K162" s="11" t="str">
        <f t="shared" si="10"/>
        <v>✅ Concluído</v>
      </c>
      <c r="L162" s="11"/>
      <c r="M162" s="11"/>
    </row>
    <row r="163" spans="1:13" hidden="1" x14ac:dyDescent="0.25">
      <c r="A163" s="6" t="s">
        <v>358</v>
      </c>
      <c r="B163" s="7" t="s">
        <v>359</v>
      </c>
      <c r="C163" s="8">
        <v>45803</v>
      </c>
      <c r="D163" s="11" t="s">
        <v>360</v>
      </c>
      <c r="E163" s="9" t="str">
        <f t="shared" si="11"/>
        <v>🟠 Pendência Operacional (MVC)</v>
      </c>
      <c r="F163" s="10">
        <v>45804</v>
      </c>
      <c r="G163" s="11" t="s">
        <v>15</v>
      </c>
      <c r="H163" s="11" t="str">
        <f t="shared" si="12"/>
        <v>✅ Concluído</v>
      </c>
      <c r="I163" s="10"/>
      <c r="J163" s="11"/>
      <c r="K163" s="11" t="str">
        <f t="shared" si="10"/>
        <v/>
      </c>
      <c r="L163" s="11"/>
      <c r="M163" s="11"/>
    </row>
    <row r="164" spans="1:13" hidden="1" x14ac:dyDescent="0.25">
      <c r="A164" s="6" t="s">
        <v>361</v>
      </c>
      <c r="B164" s="7" t="s">
        <v>362</v>
      </c>
      <c r="C164" s="8">
        <v>45841</v>
      </c>
      <c r="D164" s="11" t="s">
        <v>15</v>
      </c>
      <c r="E164" s="9" t="str">
        <f t="shared" si="11"/>
        <v>✅ Concluído</v>
      </c>
      <c r="F164" s="10"/>
      <c r="G164" s="11"/>
      <c r="H164" s="11" t="str">
        <f t="shared" si="9"/>
        <v/>
      </c>
      <c r="I164" s="10"/>
      <c r="J164" s="11"/>
      <c r="K164" s="11" t="str">
        <f t="shared" si="10"/>
        <v/>
      </c>
      <c r="L164" s="11"/>
      <c r="M164" s="11"/>
    </row>
    <row r="165" spans="1:13" ht="84" hidden="1" x14ac:dyDescent="0.25">
      <c r="A165" s="6" t="s">
        <v>363</v>
      </c>
      <c r="B165" s="7" t="s">
        <v>364</v>
      </c>
      <c r="C165" s="8">
        <v>45856</v>
      </c>
      <c r="D165" s="11" t="s">
        <v>891</v>
      </c>
      <c r="E165" s="9" t="str">
        <f t="shared" si="11"/>
        <v>🔴 Infraestrutura (Telebras)</v>
      </c>
      <c r="F165" s="10"/>
      <c r="G165" s="11"/>
      <c r="H165" s="11" t="str">
        <f t="shared" si="9"/>
        <v/>
      </c>
      <c r="I165" s="10"/>
      <c r="J165" s="11"/>
      <c r="K165" s="11" t="str">
        <f t="shared" si="10"/>
        <v/>
      </c>
      <c r="L165" s="11"/>
      <c r="M165" s="11"/>
    </row>
    <row r="166" spans="1:13" hidden="1" x14ac:dyDescent="0.25">
      <c r="A166" s="6" t="s">
        <v>365</v>
      </c>
      <c r="B166" s="7" t="s">
        <v>366</v>
      </c>
      <c r="C166" s="8">
        <v>45785</v>
      </c>
      <c r="D166" s="11" t="s">
        <v>15</v>
      </c>
      <c r="E166" s="9" t="str">
        <f t="shared" si="11"/>
        <v>✅ Concluído</v>
      </c>
      <c r="F166" s="10"/>
      <c r="G166" s="11"/>
      <c r="H166" s="11" t="str">
        <f t="shared" si="9"/>
        <v/>
      </c>
      <c r="I166" s="10"/>
      <c r="J166" s="11"/>
      <c r="K166" s="11" t="str">
        <f t="shared" si="10"/>
        <v/>
      </c>
      <c r="L166" s="11"/>
      <c r="M166" s="11"/>
    </row>
    <row r="167" spans="1:13" hidden="1" x14ac:dyDescent="0.25">
      <c r="A167" s="6" t="s">
        <v>367</v>
      </c>
      <c r="B167" s="7" t="s">
        <v>368</v>
      </c>
      <c r="C167" s="8">
        <v>45800</v>
      </c>
      <c r="D167" s="11" t="s">
        <v>650</v>
      </c>
      <c r="E167" s="9" t="str">
        <f t="shared" si="11"/>
        <v>🔴 Infraestrutura (Telebras)</v>
      </c>
      <c r="F167" s="10"/>
      <c r="G167" s="11"/>
      <c r="H167" s="11" t="str">
        <f t="shared" si="9"/>
        <v/>
      </c>
      <c r="I167" s="10"/>
      <c r="J167" s="11"/>
      <c r="K167" s="11" t="str">
        <f t="shared" si="10"/>
        <v/>
      </c>
      <c r="L167" s="11"/>
      <c r="M167" s="11"/>
    </row>
    <row r="168" spans="1:13" hidden="1" x14ac:dyDescent="0.25">
      <c r="A168" s="6" t="s">
        <v>369</v>
      </c>
      <c r="B168" s="7" t="s">
        <v>370</v>
      </c>
      <c r="C168" s="8">
        <v>45806</v>
      </c>
      <c r="D168" s="11" t="s">
        <v>15</v>
      </c>
      <c r="E168" s="9" t="str">
        <f t="shared" si="11"/>
        <v>✅ Concluído</v>
      </c>
      <c r="F168" s="10"/>
      <c r="G168" s="11"/>
      <c r="H168" s="11" t="str">
        <f t="shared" si="9"/>
        <v/>
      </c>
      <c r="I168" s="10"/>
      <c r="J168" s="11"/>
      <c r="K168" s="11" t="str">
        <f t="shared" si="10"/>
        <v/>
      </c>
      <c r="L168" s="11"/>
      <c r="M168" s="11"/>
    </row>
    <row r="169" spans="1:13" hidden="1" x14ac:dyDescent="0.25">
      <c r="A169" s="6" t="s">
        <v>371</v>
      </c>
      <c r="B169" s="7" t="s">
        <v>372</v>
      </c>
      <c r="C169" s="8">
        <v>45823</v>
      </c>
      <c r="D169" s="11" t="s">
        <v>373</v>
      </c>
      <c r="E169" s="9" t="str">
        <f t="shared" si="11"/>
        <v>🟠 Pendência Operacional (MVC)</v>
      </c>
      <c r="F169" s="10">
        <v>45824</v>
      </c>
      <c r="G169" s="11" t="s">
        <v>15</v>
      </c>
      <c r="H169" s="11" t="str">
        <f>IF(G169="","",IF(AND(OR(ISNUMBER(SEARCH("TELEBRAS",UPPER(G169))),ISNUMBER(SEARCH("TLB",UPPER(G169))),ISNUMBER(SEARCH("LINK",UPPER(G169))),ISNUMBER(SEARCH("ROTA",UPPER(G169))),ISNUMBER(SEARCH("ENERGIA",UPPER(G169)))),OR(ISNUMBER(SEARCH("MVC",UPPER(G169))),ISNUMBER(SEARCH("FOTOS",UPPER(G169))),ISNUMBER(SEARCH("DOC",UPPER(G169))),ISNUMBER(SEARCH("TERMO",UPPER(G169))),ISNUMBER(SEARCH("CORREÇÃO",UPPER(G169))),ISNUMBER(SEARCH("CORRECAO",UPPER(G169))))),"🔴🟠 Misto (Telebras + MVC)",
 IF(OR(ISNUMBER(SEARCH("TELEBRAS",UPPER(G169))),ISNUMBER(SEARCH("TLB",UPPER(G169))),ISNUMBER(SEARCH("LINK",UPPER(G169))),ISNUMBER(SEARCH("ROTA",UPPER(G169))),ISNUMBER(SEARCH("ENERGIA",UPPER(G169)))),"🔴 Infraestrutura (Telebras)",
 IF(OR(ISNUMBER(SEARCH("MVC",UPPER(G169))),ISNUMBER(SEARCH("FOTOS",UPPER(G169))),ISNUMBER(SEARCH("DOC",UPPER(G169))),ISNUMBER(SEARCH("TERMO",UPPER(G169))),ISNUMBER(SEARCH("CORREÇÃO",UPPER(G169))),ISNUMBER(SEARCH("CORRECAO",UPPER(G169)))),"🟠 Pendência Operacional (MVC)",
 IF(OR(ISNUMBER(SEARCH("FECHADO",UPPER(G169))),ISNUMBER(SEARCH("HORÁRIO",UPPER(G169))),ISNUMBER(SEARCH("TARDE",UPPER(G169))),ISNUMBER(SEARCH("CORREIOS",UPPER(G169))),ISNUMBER(SEARCH("MATERIAL",UPPER(G169))),ISNUMBER(SEARCH("REAGENDADA",UPPER(G169))),ISNUMBER(SEARCH("REAGENDADO",UPPER(G169))),ISNUMBER(SEARCH("ALLTECH",UPPER(G169))),ISNUMBER(SEARCH("MA",UPPER(G169))),ISNUMBER(SEARCH("SEFAZ",UPPER(G169)))),"🟡 Acesso / MA / Logística",
 IF(OR(ISNUMBER(SEARCH("FINALIZADO",UPPER(G169))),ISNUMBER(SEARCH("FINALIZADA",UPPER(G169))),ISNUMBER(SEARCH("MIGRADA",UPPER(G169)))),"✅ Concluído",
 "Outros / A Verificar"))))))</f>
        <v>✅ Concluído</v>
      </c>
      <c r="I169" s="10"/>
      <c r="J169" s="11"/>
      <c r="K169" s="11" t="str">
        <f t="shared" si="10"/>
        <v/>
      </c>
      <c r="L169" s="11"/>
      <c r="M169" s="11"/>
    </row>
    <row r="170" spans="1:13" ht="24" hidden="1" x14ac:dyDescent="0.25">
      <c r="A170" s="6" t="s">
        <v>374</v>
      </c>
      <c r="B170" s="7" t="s">
        <v>375</v>
      </c>
      <c r="C170" s="8">
        <v>45807</v>
      </c>
      <c r="D170" s="11" t="s">
        <v>878</v>
      </c>
      <c r="E170" s="9" t="str">
        <f t="shared" si="11"/>
        <v>🔴🟠 Misto (Telebras + MVC)</v>
      </c>
      <c r="F170" s="10">
        <v>45987</v>
      </c>
      <c r="G170" s="11" t="s">
        <v>15</v>
      </c>
      <c r="H170" s="11" t="str">
        <f t="shared" si="9"/>
        <v>✅ Concluído</v>
      </c>
      <c r="I170" s="10"/>
      <c r="J170" s="11"/>
      <c r="K170" s="11" t="str">
        <f t="shared" si="10"/>
        <v/>
      </c>
      <c r="L170" s="11"/>
      <c r="M170" s="11"/>
    </row>
    <row r="171" spans="1:13" hidden="1" x14ac:dyDescent="0.25">
      <c r="A171" s="6" t="s">
        <v>376</v>
      </c>
      <c r="B171" s="7" t="s">
        <v>377</v>
      </c>
      <c r="C171" s="8">
        <v>45812</v>
      </c>
      <c r="D171" s="9" t="s">
        <v>863</v>
      </c>
      <c r="E171" s="9" t="str">
        <f t="shared" si="11"/>
        <v>CANCELADO</v>
      </c>
      <c r="F171" s="10"/>
      <c r="G171" s="11"/>
      <c r="H171" s="11" t="str">
        <f t="shared" si="9"/>
        <v/>
      </c>
      <c r="I171" s="10"/>
      <c r="J171" s="11"/>
      <c r="K171" s="11" t="str">
        <f t="shared" si="10"/>
        <v/>
      </c>
      <c r="L171" s="11"/>
      <c r="M171" s="11"/>
    </row>
    <row r="172" spans="1:13" hidden="1" x14ac:dyDescent="0.25">
      <c r="A172" s="6" t="s">
        <v>378</v>
      </c>
      <c r="B172" s="7" t="s">
        <v>379</v>
      </c>
      <c r="C172" s="8">
        <v>45792</v>
      </c>
      <c r="D172" s="11" t="s">
        <v>15</v>
      </c>
      <c r="E172" s="9" t="str">
        <f t="shared" si="11"/>
        <v>✅ Concluído</v>
      </c>
      <c r="F172" s="10"/>
      <c r="G172" s="11"/>
      <c r="H172" s="11" t="str">
        <f t="shared" si="9"/>
        <v/>
      </c>
      <c r="I172" s="10"/>
      <c r="J172" s="11"/>
      <c r="K172" s="11" t="str">
        <f t="shared" si="10"/>
        <v/>
      </c>
      <c r="L172" s="11"/>
      <c r="M172" s="11"/>
    </row>
    <row r="173" spans="1:13" hidden="1" x14ac:dyDescent="0.25">
      <c r="A173" s="6" t="s">
        <v>380</v>
      </c>
      <c r="B173" s="7" t="s">
        <v>381</v>
      </c>
      <c r="C173" s="8">
        <v>45826</v>
      </c>
      <c r="D173" s="11" t="s">
        <v>15</v>
      </c>
      <c r="E173" s="9" t="str">
        <f t="shared" si="11"/>
        <v>✅ Concluído</v>
      </c>
      <c r="F173" s="10"/>
      <c r="G173" s="11"/>
      <c r="H173" s="11" t="str">
        <f t="shared" si="9"/>
        <v/>
      </c>
      <c r="I173" s="10"/>
      <c r="J173" s="11"/>
      <c r="K173" s="11" t="str">
        <f t="shared" si="10"/>
        <v/>
      </c>
      <c r="L173" s="11"/>
      <c r="M173" s="11"/>
    </row>
    <row r="174" spans="1:13" hidden="1" x14ac:dyDescent="0.25">
      <c r="A174" s="6" t="s">
        <v>382</v>
      </c>
      <c r="B174" s="7" t="s">
        <v>383</v>
      </c>
      <c r="C174" s="8">
        <v>45786</v>
      </c>
      <c r="D174" s="11" t="s">
        <v>15</v>
      </c>
      <c r="E174" s="9" t="str">
        <f t="shared" si="11"/>
        <v>✅ Concluído</v>
      </c>
      <c r="F174" s="10"/>
      <c r="G174" s="11"/>
      <c r="H174" s="11" t="str">
        <f t="shared" si="9"/>
        <v/>
      </c>
      <c r="I174" s="10"/>
      <c r="J174" s="11"/>
      <c r="K174" s="11" t="str">
        <f t="shared" si="10"/>
        <v/>
      </c>
      <c r="L174" s="11"/>
      <c r="M174" s="11"/>
    </row>
    <row r="175" spans="1:13" hidden="1" x14ac:dyDescent="0.25">
      <c r="A175" s="6" t="s">
        <v>384</v>
      </c>
      <c r="B175" s="7" t="s">
        <v>385</v>
      </c>
      <c r="C175" s="8">
        <v>45824</v>
      </c>
      <c r="D175" s="11" t="s">
        <v>650</v>
      </c>
      <c r="E175" s="9" t="str">
        <f t="shared" si="11"/>
        <v>🔴 Infraestrutura (Telebras)</v>
      </c>
      <c r="F175" s="10">
        <v>45967</v>
      </c>
      <c r="G175" s="11" t="s">
        <v>15</v>
      </c>
      <c r="H175" s="11" t="str">
        <f>IF(G175="","",IF(AND(OR(ISNUMBER(SEARCH("TELEBRAS",UPPER(G175))),ISNUMBER(SEARCH("TLB",UPPER(G175))),ISNUMBER(SEARCH("LINK",UPPER(G175))),ISNUMBER(SEARCH("ROTA",UPPER(G175))),ISNUMBER(SEARCH("ENERGIA",UPPER(G175)))),OR(ISNUMBER(SEARCH("MVC",UPPER(G175))),ISNUMBER(SEARCH("FOTOS",UPPER(G175))),ISNUMBER(SEARCH("DOC",UPPER(G175))),ISNUMBER(SEARCH("TERMO",UPPER(G175))),ISNUMBER(SEARCH("CORREÇÃO",UPPER(G175))),ISNUMBER(SEARCH("CORRECAO",UPPER(G175))))),"🔴🟠 Misto (Telebras + MVC)",
 IF(OR(ISNUMBER(SEARCH("TELEBRAS",UPPER(G175))),ISNUMBER(SEARCH("TLB",UPPER(G175))),ISNUMBER(SEARCH("LINK",UPPER(G175))),ISNUMBER(SEARCH("ROTA",UPPER(G175))),ISNUMBER(SEARCH("ENERGIA",UPPER(G175)))),"🔴 Infraestrutura (Telebras)",
 IF(OR(ISNUMBER(SEARCH("MVC",UPPER(G175))),ISNUMBER(SEARCH("FOTOS",UPPER(G175))),ISNUMBER(SEARCH("DOC",UPPER(G175))),ISNUMBER(SEARCH("TERMO",UPPER(G175))),ISNUMBER(SEARCH("CORREÇÃO",UPPER(G175))),ISNUMBER(SEARCH("CORRECAO",UPPER(G175)))),"🟠 Pendência Operacional (MVC)",
 IF(OR(ISNUMBER(SEARCH("FECHADO",UPPER(G175))),ISNUMBER(SEARCH("HORÁRIO",UPPER(G175))),ISNUMBER(SEARCH("TARDE",UPPER(G175))),ISNUMBER(SEARCH("CORREIOS",UPPER(G175))),ISNUMBER(SEARCH("MATERIAL",UPPER(G175))),ISNUMBER(SEARCH("REAGENDADA",UPPER(G175))),ISNUMBER(SEARCH("REAGENDADO",UPPER(G175))),ISNUMBER(SEARCH("ALLTECH",UPPER(G175))),ISNUMBER(SEARCH("MA",UPPER(G175))),ISNUMBER(SEARCH("SEFAZ",UPPER(G175)))),"🟡 Acesso / MA / Logística",
 IF(OR(ISNUMBER(SEARCH("FINALIZADO",UPPER(G175))),ISNUMBER(SEARCH("FINALIZADA",UPPER(G175))),ISNUMBER(SEARCH("MIGRADA",UPPER(G175)))),"✅ Concluído",
 "Outros / A Verificar"))))))</f>
        <v>✅ Concluído</v>
      </c>
      <c r="I175" s="10"/>
      <c r="J175" s="11"/>
      <c r="K175" s="11" t="str">
        <f t="shared" si="10"/>
        <v/>
      </c>
      <c r="L175" s="11"/>
      <c r="M175" s="11"/>
    </row>
    <row r="176" spans="1:13" hidden="1" x14ac:dyDescent="0.25">
      <c r="A176" s="6" t="s">
        <v>386</v>
      </c>
      <c r="B176" s="7" t="s">
        <v>387</v>
      </c>
      <c r="C176" s="8">
        <v>45832</v>
      </c>
      <c r="D176" s="11" t="s">
        <v>15</v>
      </c>
      <c r="E176" s="9" t="str">
        <f t="shared" si="11"/>
        <v>✅ Concluído</v>
      </c>
      <c r="F176" s="10"/>
      <c r="G176" s="11"/>
      <c r="H176" s="11" t="str">
        <f t="shared" si="9"/>
        <v/>
      </c>
      <c r="I176" s="10"/>
      <c r="J176" s="11"/>
      <c r="K176" s="11" t="str">
        <f t="shared" si="10"/>
        <v/>
      </c>
      <c r="L176" s="11"/>
      <c r="M176" s="11"/>
    </row>
    <row r="177" spans="1:13" hidden="1" x14ac:dyDescent="0.25">
      <c r="A177" s="6" t="s">
        <v>388</v>
      </c>
      <c r="B177" s="7" t="s">
        <v>389</v>
      </c>
      <c r="C177" s="8">
        <v>45821</v>
      </c>
      <c r="D177" s="11" t="s">
        <v>650</v>
      </c>
      <c r="E177" s="9" t="str">
        <f t="shared" si="11"/>
        <v>🔴 Infraestrutura (Telebras)</v>
      </c>
      <c r="F177" s="10"/>
      <c r="G177" s="11"/>
      <c r="H177" s="11" t="str">
        <f t="shared" si="9"/>
        <v/>
      </c>
      <c r="I177" s="10"/>
      <c r="J177" s="11"/>
      <c r="K177" s="11" t="str">
        <f t="shared" si="10"/>
        <v/>
      </c>
      <c r="L177" s="11"/>
      <c r="M177" s="11"/>
    </row>
    <row r="178" spans="1:13" hidden="1" x14ac:dyDescent="0.25">
      <c r="A178" s="6" t="s">
        <v>390</v>
      </c>
      <c r="B178" s="7" t="s">
        <v>391</v>
      </c>
      <c r="C178" s="8">
        <v>45810</v>
      </c>
      <c r="D178" s="11" t="s">
        <v>15</v>
      </c>
      <c r="E178" s="9" t="str">
        <f t="shared" si="11"/>
        <v>✅ Concluído</v>
      </c>
      <c r="F178" s="10"/>
      <c r="G178" s="11"/>
      <c r="H178" s="11" t="str">
        <f t="shared" si="9"/>
        <v/>
      </c>
      <c r="I178" s="10"/>
      <c r="J178" s="11"/>
      <c r="K178" s="11" t="str">
        <f t="shared" si="10"/>
        <v/>
      </c>
      <c r="L178" s="11"/>
      <c r="M178" s="11"/>
    </row>
    <row r="179" spans="1:13" hidden="1" x14ac:dyDescent="0.25">
      <c r="A179" s="6" t="s">
        <v>392</v>
      </c>
      <c r="B179" s="7" t="s">
        <v>393</v>
      </c>
      <c r="C179" s="8">
        <v>45814</v>
      </c>
      <c r="D179" s="11" t="s">
        <v>15</v>
      </c>
      <c r="E179" s="9" t="str">
        <f t="shared" si="11"/>
        <v>✅ Concluído</v>
      </c>
      <c r="F179" s="10"/>
      <c r="G179" s="11"/>
      <c r="H179" s="11" t="str">
        <f t="shared" si="9"/>
        <v/>
      </c>
      <c r="I179" s="10"/>
      <c r="J179" s="11"/>
      <c r="K179" s="11" t="str">
        <f t="shared" si="10"/>
        <v/>
      </c>
      <c r="L179" s="11"/>
      <c r="M179" s="11"/>
    </row>
    <row r="180" spans="1:13" hidden="1" x14ac:dyDescent="0.25">
      <c r="A180" s="6" t="s">
        <v>394</v>
      </c>
      <c r="B180" s="7" t="s">
        <v>395</v>
      </c>
      <c r="C180" s="8">
        <v>45866</v>
      </c>
      <c r="D180" s="11" t="s">
        <v>15</v>
      </c>
      <c r="E180" s="9" t="str">
        <f t="shared" si="11"/>
        <v>✅ Concluído</v>
      </c>
      <c r="F180" s="10"/>
      <c r="G180" s="11"/>
      <c r="H180" s="11" t="str">
        <f t="shared" si="9"/>
        <v/>
      </c>
      <c r="I180" s="10"/>
      <c r="J180" s="11"/>
      <c r="K180" s="11" t="str">
        <f t="shared" si="10"/>
        <v/>
      </c>
      <c r="L180" s="11"/>
      <c r="M180" s="11"/>
    </row>
    <row r="181" spans="1:13" hidden="1" x14ac:dyDescent="0.25">
      <c r="A181" s="6" t="s">
        <v>396</v>
      </c>
      <c r="B181" s="7" t="s">
        <v>397</v>
      </c>
      <c r="C181" s="8">
        <v>45819</v>
      </c>
      <c r="D181" s="9" t="s">
        <v>863</v>
      </c>
      <c r="E181" s="9" t="str">
        <f t="shared" si="11"/>
        <v>CANCELADO</v>
      </c>
      <c r="F181" s="10"/>
      <c r="G181" s="11"/>
      <c r="H181" s="11" t="str">
        <f t="shared" si="9"/>
        <v/>
      </c>
      <c r="I181" s="10"/>
      <c r="J181" s="11"/>
      <c r="K181" s="11" t="str">
        <f t="shared" si="10"/>
        <v/>
      </c>
      <c r="L181" s="11"/>
      <c r="M181" s="11"/>
    </row>
    <row r="182" spans="1:13" hidden="1" x14ac:dyDescent="0.25">
      <c r="A182" s="6" t="s">
        <v>398</v>
      </c>
      <c r="B182" s="7" t="s">
        <v>399</v>
      </c>
      <c r="C182" s="8">
        <v>45804</v>
      </c>
      <c r="D182" s="11" t="s">
        <v>15</v>
      </c>
      <c r="E182" s="9" t="str">
        <f t="shared" si="11"/>
        <v>✅ Concluído</v>
      </c>
      <c r="F182" s="10"/>
      <c r="G182" s="11"/>
      <c r="H182" s="11" t="str">
        <f t="shared" si="9"/>
        <v/>
      </c>
      <c r="I182" s="10"/>
      <c r="J182" s="11"/>
      <c r="K182" s="11" t="str">
        <f t="shared" si="10"/>
        <v/>
      </c>
      <c r="L182" s="11"/>
      <c r="M182" s="11"/>
    </row>
    <row r="183" spans="1:13" hidden="1" x14ac:dyDescent="0.25">
      <c r="A183" s="6" t="s">
        <v>400</v>
      </c>
      <c r="B183" s="7" t="s">
        <v>401</v>
      </c>
      <c r="C183" s="8">
        <v>45834</v>
      </c>
      <c r="D183" s="11" t="s">
        <v>15</v>
      </c>
      <c r="E183" s="9" t="str">
        <f t="shared" si="11"/>
        <v>✅ Concluído</v>
      </c>
      <c r="F183" s="10"/>
      <c r="G183" s="11"/>
      <c r="H183" s="11" t="str">
        <f t="shared" si="9"/>
        <v/>
      </c>
      <c r="I183" s="10"/>
      <c r="J183" s="11"/>
      <c r="K183" s="11" t="str">
        <f t="shared" si="10"/>
        <v/>
      </c>
      <c r="L183" s="11"/>
      <c r="M183" s="11"/>
    </row>
    <row r="184" spans="1:13" hidden="1" x14ac:dyDescent="0.25">
      <c r="A184" s="6" t="s">
        <v>402</v>
      </c>
      <c r="B184" s="7" t="s">
        <v>403</v>
      </c>
      <c r="C184" s="8">
        <v>45803</v>
      </c>
      <c r="D184" s="11" t="s">
        <v>15</v>
      </c>
      <c r="E184" s="9" t="str">
        <f t="shared" si="11"/>
        <v>✅ Concluído</v>
      </c>
      <c r="F184" s="10"/>
      <c r="G184" s="11"/>
      <c r="H184" s="11" t="str">
        <f t="shared" si="9"/>
        <v/>
      </c>
      <c r="I184" s="10"/>
      <c r="J184" s="11"/>
      <c r="K184" s="11" t="str">
        <f t="shared" si="10"/>
        <v/>
      </c>
      <c r="L184" s="11"/>
      <c r="M184" s="11"/>
    </row>
    <row r="185" spans="1:13" hidden="1" x14ac:dyDescent="0.25">
      <c r="A185" s="6" t="s">
        <v>404</v>
      </c>
      <c r="B185" s="7" t="s">
        <v>405</v>
      </c>
      <c r="C185" s="8">
        <v>45805</v>
      </c>
      <c r="D185" s="11" t="s">
        <v>15</v>
      </c>
      <c r="E185" s="9" t="str">
        <f t="shared" si="11"/>
        <v>✅ Concluído</v>
      </c>
      <c r="F185" s="10"/>
      <c r="G185" s="11"/>
      <c r="H185" s="11" t="str">
        <f t="shared" si="9"/>
        <v/>
      </c>
      <c r="I185" s="10"/>
      <c r="J185" s="11"/>
      <c r="K185" s="11" t="str">
        <f t="shared" si="10"/>
        <v/>
      </c>
      <c r="L185" s="11"/>
      <c r="M185" s="11"/>
    </row>
    <row r="186" spans="1:13" hidden="1" x14ac:dyDescent="0.25">
      <c r="A186" s="6" t="s">
        <v>406</v>
      </c>
      <c r="B186" s="7" t="s">
        <v>407</v>
      </c>
      <c r="C186" s="8">
        <v>45799</v>
      </c>
      <c r="D186" s="11" t="s">
        <v>15</v>
      </c>
      <c r="E186" s="9" t="str">
        <f t="shared" si="11"/>
        <v>✅ Concluído</v>
      </c>
      <c r="F186" s="10"/>
      <c r="G186" s="11"/>
      <c r="H186" s="11" t="str">
        <f t="shared" si="9"/>
        <v/>
      </c>
      <c r="I186" s="10"/>
      <c r="J186" s="11"/>
      <c r="K186" s="11" t="str">
        <f t="shared" si="10"/>
        <v/>
      </c>
      <c r="L186" s="11"/>
      <c r="M186" s="11"/>
    </row>
    <row r="187" spans="1:13" hidden="1" x14ac:dyDescent="0.25">
      <c r="A187" s="6" t="s">
        <v>408</v>
      </c>
      <c r="B187" s="7" t="s">
        <v>409</v>
      </c>
      <c r="C187" s="8">
        <v>45866</v>
      </c>
      <c r="D187" s="11" t="s">
        <v>650</v>
      </c>
      <c r="E187" s="9" t="str">
        <f t="shared" si="11"/>
        <v>🔴 Infraestrutura (Telebras)</v>
      </c>
      <c r="F187" s="10">
        <v>45945</v>
      </c>
      <c r="G187" s="11" t="s">
        <v>15</v>
      </c>
      <c r="H187" s="11" t="str">
        <f t="shared" ref="H187:H188" si="13">IF(G187="","",IF(AND(OR(ISNUMBER(SEARCH("TELEBRAS",UPPER(G187))),ISNUMBER(SEARCH("TLB",UPPER(G187))),ISNUMBER(SEARCH("LINK",UPPER(G187))),ISNUMBER(SEARCH("ROTA",UPPER(G187))),ISNUMBER(SEARCH("ENERGIA",UPPER(G187)))),OR(ISNUMBER(SEARCH("MVC",UPPER(G187))),ISNUMBER(SEARCH("FOTOS",UPPER(G187))),ISNUMBER(SEARCH("DOC",UPPER(G187))),ISNUMBER(SEARCH("TERMO",UPPER(G187))),ISNUMBER(SEARCH("CORREÇÃO",UPPER(G187))),ISNUMBER(SEARCH("CORRECAO",UPPER(G187))))),"🔴🟠 Misto (Telebras + MVC)",
 IF(OR(ISNUMBER(SEARCH("TELEBRAS",UPPER(G187))),ISNUMBER(SEARCH("TLB",UPPER(G187))),ISNUMBER(SEARCH("LINK",UPPER(G187))),ISNUMBER(SEARCH("ROTA",UPPER(G187))),ISNUMBER(SEARCH("ENERGIA",UPPER(G187)))),"🔴 Infraestrutura (Telebras)",
 IF(OR(ISNUMBER(SEARCH("MVC",UPPER(G187))),ISNUMBER(SEARCH("FOTOS",UPPER(G187))),ISNUMBER(SEARCH("DOC",UPPER(G187))),ISNUMBER(SEARCH("TERMO",UPPER(G187))),ISNUMBER(SEARCH("CORREÇÃO",UPPER(G187))),ISNUMBER(SEARCH("CORRECAO",UPPER(G187)))),"🟠 Pendência Operacional (MVC)",
 IF(OR(ISNUMBER(SEARCH("FECHADO",UPPER(G187))),ISNUMBER(SEARCH("HORÁRIO",UPPER(G187))),ISNUMBER(SEARCH("TARDE",UPPER(G187))),ISNUMBER(SEARCH("CORREIOS",UPPER(G187))),ISNUMBER(SEARCH("MATERIAL",UPPER(G187))),ISNUMBER(SEARCH("REAGENDADA",UPPER(G187))),ISNUMBER(SEARCH("REAGENDADO",UPPER(G187))),ISNUMBER(SEARCH("ALLTECH",UPPER(G187))),ISNUMBER(SEARCH("MA",UPPER(G187))),ISNUMBER(SEARCH("SEFAZ",UPPER(G187)))),"🟡 Acesso / MA / Logística",
 IF(OR(ISNUMBER(SEARCH("FINALIZADO",UPPER(G187))),ISNUMBER(SEARCH("FINALIZADA",UPPER(G187))),ISNUMBER(SEARCH("MIGRADA",UPPER(G187)))),"✅ Concluído",
 "Outros / A Verificar"))))))</f>
        <v>✅ Concluído</v>
      </c>
      <c r="I187" s="10"/>
      <c r="J187" s="11"/>
      <c r="K187" s="11" t="str">
        <f t="shared" si="10"/>
        <v/>
      </c>
      <c r="L187" s="11"/>
      <c r="M187" s="11"/>
    </row>
    <row r="188" spans="1:13" ht="48" hidden="1" x14ac:dyDescent="0.25">
      <c r="A188" s="6" t="s">
        <v>410</v>
      </c>
      <c r="B188" s="7" t="s">
        <v>411</v>
      </c>
      <c r="C188" s="8">
        <v>45817</v>
      </c>
      <c r="D188" s="11" t="s">
        <v>847</v>
      </c>
      <c r="E188" s="9" t="str">
        <f t="shared" si="11"/>
        <v>🔴 Infraestrutura (Telebras)</v>
      </c>
      <c r="F188" s="10">
        <v>45825</v>
      </c>
      <c r="G188" s="11" t="s">
        <v>168</v>
      </c>
      <c r="H188" s="11" t="str">
        <f t="shared" si="13"/>
        <v>🔴 Infraestrutura (Telebras)</v>
      </c>
      <c r="I188" s="10">
        <v>45946</v>
      </c>
      <c r="J188" s="11" t="s">
        <v>15</v>
      </c>
      <c r="K188" s="11" t="str">
        <f t="shared" si="10"/>
        <v>✅ Concluído</v>
      </c>
      <c r="L188" s="11"/>
      <c r="M188" s="11"/>
    </row>
    <row r="189" spans="1:13" hidden="1" x14ac:dyDescent="0.25">
      <c r="A189" s="6" t="s">
        <v>412</v>
      </c>
      <c r="B189" s="7" t="s">
        <v>413</v>
      </c>
      <c r="C189" s="8">
        <v>45798</v>
      </c>
      <c r="D189" s="9" t="s">
        <v>15</v>
      </c>
      <c r="E189" s="9" t="str">
        <f t="shared" si="11"/>
        <v>✅ Concluído</v>
      </c>
      <c r="F189" s="10"/>
      <c r="G189" s="11"/>
      <c r="H189" s="11" t="str">
        <f t="shared" si="9"/>
        <v/>
      </c>
      <c r="I189" s="10"/>
      <c r="J189" s="11"/>
      <c r="K189" s="11" t="str">
        <f t="shared" si="10"/>
        <v/>
      </c>
      <c r="L189" s="11"/>
      <c r="M189" s="11"/>
    </row>
    <row r="190" spans="1:13" hidden="1" x14ac:dyDescent="0.25">
      <c r="A190" s="6" t="s">
        <v>414</v>
      </c>
      <c r="B190" s="7" t="s">
        <v>415</v>
      </c>
      <c r="C190" s="8">
        <v>45869</v>
      </c>
      <c r="D190" s="9" t="s">
        <v>863</v>
      </c>
      <c r="E190" s="9" t="str">
        <f t="shared" si="11"/>
        <v>CANCELADO</v>
      </c>
      <c r="F190" s="10"/>
      <c r="G190" s="11"/>
      <c r="H190" s="11" t="str">
        <f t="shared" si="9"/>
        <v/>
      </c>
      <c r="I190" s="10"/>
      <c r="J190" s="11"/>
      <c r="K190" s="11" t="str">
        <f t="shared" si="10"/>
        <v/>
      </c>
      <c r="L190" s="11"/>
      <c r="M190" s="11"/>
    </row>
    <row r="191" spans="1:13" hidden="1" x14ac:dyDescent="0.25">
      <c r="A191" s="6" t="s">
        <v>416</v>
      </c>
      <c r="B191" s="7" t="s">
        <v>417</v>
      </c>
      <c r="C191" s="8">
        <v>45807</v>
      </c>
      <c r="D191" s="11" t="s">
        <v>15</v>
      </c>
      <c r="E191" s="9" t="str">
        <f t="shared" si="11"/>
        <v>✅ Concluído</v>
      </c>
      <c r="F191" s="10"/>
      <c r="G191" s="11"/>
      <c r="H191" s="11" t="str">
        <f t="shared" si="9"/>
        <v/>
      </c>
      <c r="I191" s="10"/>
      <c r="J191" s="11"/>
      <c r="K191" s="11" t="str">
        <f t="shared" si="10"/>
        <v/>
      </c>
      <c r="L191" s="11"/>
      <c r="M191" s="11"/>
    </row>
    <row r="192" spans="1:13" hidden="1" x14ac:dyDescent="0.25">
      <c r="A192" s="6" t="s">
        <v>418</v>
      </c>
      <c r="B192" s="7" t="s">
        <v>419</v>
      </c>
      <c r="C192" s="8">
        <v>45851</v>
      </c>
      <c r="D192" s="11" t="s">
        <v>15</v>
      </c>
      <c r="E192" s="9" t="str">
        <f t="shared" si="11"/>
        <v>✅ Concluído</v>
      </c>
      <c r="F192" s="10"/>
      <c r="G192" s="11"/>
      <c r="H192" s="11" t="str">
        <f t="shared" si="9"/>
        <v/>
      </c>
      <c r="I192" s="10"/>
      <c r="J192" s="11"/>
      <c r="K192" s="11" t="str">
        <f t="shared" si="10"/>
        <v/>
      </c>
      <c r="L192" s="11"/>
      <c r="M192" s="11"/>
    </row>
    <row r="193" spans="1:13" hidden="1" x14ac:dyDescent="0.25">
      <c r="A193" s="6" t="s">
        <v>420</v>
      </c>
      <c r="B193" s="7" t="s">
        <v>421</v>
      </c>
      <c r="C193" s="8">
        <v>45790</v>
      </c>
      <c r="D193" s="11" t="s">
        <v>15</v>
      </c>
      <c r="E193" s="9" t="str">
        <f t="shared" si="11"/>
        <v>✅ Concluído</v>
      </c>
      <c r="F193" s="10"/>
      <c r="G193" s="11"/>
      <c r="H193" s="11" t="str">
        <f t="shared" si="9"/>
        <v/>
      </c>
      <c r="I193" s="10"/>
      <c r="J193" s="11"/>
      <c r="K193" s="11" t="str">
        <f t="shared" si="10"/>
        <v/>
      </c>
      <c r="L193" s="11"/>
      <c r="M193" s="11"/>
    </row>
    <row r="194" spans="1:13" hidden="1" x14ac:dyDescent="0.25">
      <c r="A194" s="6" t="s">
        <v>422</v>
      </c>
      <c r="B194" s="7" t="s">
        <v>423</v>
      </c>
      <c r="C194" s="8">
        <v>45813</v>
      </c>
      <c r="D194" s="11" t="s">
        <v>650</v>
      </c>
      <c r="E194" s="9" t="str">
        <f t="shared" si="11"/>
        <v>🔴 Infraestrutura (Telebras)</v>
      </c>
      <c r="F194" s="10">
        <v>45901</v>
      </c>
      <c r="G194" s="11" t="s">
        <v>15</v>
      </c>
      <c r="H194" s="11" t="str">
        <f>IF(G194="","",IF(AND(OR(ISNUMBER(SEARCH("TELEBRAS",UPPER(G194))),ISNUMBER(SEARCH("TLB",UPPER(G194))),ISNUMBER(SEARCH("LINK",UPPER(G194))),ISNUMBER(SEARCH("ROTA",UPPER(G194))),ISNUMBER(SEARCH("ENERGIA",UPPER(G194)))),OR(ISNUMBER(SEARCH("MVC",UPPER(G194))),ISNUMBER(SEARCH("FOTOS",UPPER(G194))),ISNUMBER(SEARCH("DOC",UPPER(G194))),ISNUMBER(SEARCH("TERMO",UPPER(G194))),ISNUMBER(SEARCH("CORREÇÃO",UPPER(G194))),ISNUMBER(SEARCH("CORRECAO",UPPER(G194))))),"🔴🟠 Misto (Telebras + MVC)",
 IF(OR(ISNUMBER(SEARCH("TELEBRAS",UPPER(G194))),ISNUMBER(SEARCH("TLB",UPPER(G194))),ISNUMBER(SEARCH("LINK",UPPER(G194))),ISNUMBER(SEARCH("ROTA",UPPER(G194))),ISNUMBER(SEARCH("ENERGIA",UPPER(G194)))),"🔴 Infraestrutura (Telebras)",
 IF(OR(ISNUMBER(SEARCH("MVC",UPPER(G194))),ISNUMBER(SEARCH("FOTOS",UPPER(G194))),ISNUMBER(SEARCH("DOC",UPPER(G194))),ISNUMBER(SEARCH("TERMO",UPPER(G194))),ISNUMBER(SEARCH("CORREÇÃO",UPPER(G194))),ISNUMBER(SEARCH("CORRECAO",UPPER(G194)))),"🟠 Pendência Operacional (MVC)",
 IF(OR(ISNUMBER(SEARCH("FECHADO",UPPER(G194))),ISNUMBER(SEARCH("HORÁRIO",UPPER(G194))),ISNUMBER(SEARCH("TARDE",UPPER(G194))),ISNUMBER(SEARCH("CORREIOS",UPPER(G194))),ISNUMBER(SEARCH("MATERIAL",UPPER(G194))),ISNUMBER(SEARCH("REAGENDADA",UPPER(G194))),ISNUMBER(SEARCH("REAGENDADO",UPPER(G194))),ISNUMBER(SEARCH("ALLTECH",UPPER(G194))),ISNUMBER(SEARCH("MA",UPPER(G194))),ISNUMBER(SEARCH("SEFAZ",UPPER(G194)))),"🟡 Acesso / MA / Logística",
 IF(OR(ISNUMBER(SEARCH("FINALIZADO",UPPER(G194))),ISNUMBER(SEARCH("FINALIZADA",UPPER(G194))),ISNUMBER(SEARCH("MIGRADA",UPPER(G194)))),"✅ Concluído",
 "Outros / A Verificar"))))))</f>
        <v>✅ Concluído</v>
      </c>
      <c r="I194" s="10"/>
      <c r="J194" s="11"/>
      <c r="K194" s="11" t="str">
        <f t="shared" ref="K194:K257" si="14">IF(J194="","",IF(OR(ISNUMBER(SEARCH("TELEBRAS",UPPER(J194))), ISNUMBER(SEARCH("TLB",UPPER(J194))), ISNUMBER(SEARCH("LINK",UPPER(J194))), ISNUMBER(SEARCH("ROTA",UPPER(J194))), ISNUMBER(SEARCH("ENERGIA",UPPER(J194)))), "🔴 Infraestrutura (Telebras)",
 IF(OR(ISNUMBER(SEARCH("MVC",UPPER(J194))), ISNUMBER(SEARCH("FOTOS",UPPER(J194))), ISNUMBER(SEARCH("DOC",UPPER(J194))), ISNUMBER(SEARCH("TERMO",UPPER(J194))), ISNUMBER(SEARCH("CORREÇÃO",UPPER(J194))), ISNUMBER(SEARCH("CORRECAO",UPPER(J194)))), "🟠 Pendência Operacional (MVC)",
  IF(OR(ISNUMBER(SEARCH("FECHADO",UPPER(J194))), ISNUMBER(SEARCH("HORÁRIO",UPPER(J194))), ISNUMBER(SEARCH("TARDE",UPPER(J194))), ISNUMBER(SEARCH("CORREIOS",UPPER(J194))), ISNUMBER(SEARCH("MATERIAL",UPPER(J194)))), "🟡 Acesso / Logística",
   IF(OR(ISNUMBER(SEARCH("FINALIZADO",UPPER(J194))), ISNUMBER(SEARCH("MIGRADA",UPPER(J194)))), "✅ Concluído",
    "Outros / A Verificar")))))</f>
        <v/>
      </c>
      <c r="L194" s="11"/>
      <c r="M194" s="11"/>
    </row>
    <row r="195" spans="1:13" hidden="1" x14ac:dyDescent="0.25">
      <c r="A195" s="6" t="s">
        <v>424</v>
      </c>
      <c r="B195" s="7" t="s">
        <v>425</v>
      </c>
      <c r="C195" s="8">
        <v>45812</v>
      </c>
      <c r="D195" s="11" t="s">
        <v>15</v>
      </c>
      <c r="E195" s="9" t="str">
        <f t="shared" ref="E195:E258" si="15">IF(D195="","",IF(ISNUMBER(SEARCH("CANCELADO",UPPER(D195))),"CANCELADO",IF(AND(OR(ISNUMBER(SEARCH("TELEBRAS",UPPER(D195))),ISNUMBER(SEARCH("TLB",UPPER(D195))),ISNUMBER(SEARCH("LINK",UPPER(D195))),ISNUMBER(SEARCH("ROTA",UPPER(D195))),ISNUMBER(SEARCH("ENERGIA",UPPER(D195)))),OR(ISNUMBER(SEARCH("MVC",UPPER(D195))),ISNUMBER(SEARCH("FOTOS",UPPER(D195))),ISNUMBER(SEARCH("DOC",UPPER(D195))),ISNUMBER(SEARCH("TERMO",UPPER(D195))),ISNUMBER(SEARCH("CORREÇÃO",UPPER(D195))),ISNUMBER(SEARCH("CORRECAO",UPPER(D195))))),"🔴🟠 Misto (Telebras + MVC)",
IF(OR(ISNUMBER(SEARCH("TELEBRAS",UPPER(D195))),ISNUMBER(SEARCH("TLB",UPPER(D195))),ISNUMBER(SEARCH("LINK",UPPER(D195))),ISNUMBER(SEARCH("ROTA",UPPER(D195))),ISNUMBER(SEARCH("ENERGIA",UPPER(D195)))),"🔴 Infraestrutura (Telebras)",
IF(OR(ISNUMBER(SEARCH("MVC",UPPER(D195))),ISNUMBER(SEARCH("FOTOS",UPPER(D195))),ISNUMBER(SEARCH("DOC",UPPER(D195))),ISNUMBER(SEARCH("TERMO",UPPER(D195))),ISNUMBER(SEARCH("CORREÇÃO",UPPER(D195))),ISNUMBER(SEARCH("CORRECAO",UPPER(D195)))),"🟠 Pendência Operacional (MVC)",
IF(OR(ISNUMBER(SEARCH("FECHADO",UPPER(D195))),ISNUMBER(SEARCH("HORÁRIO",UPPER(D195))),ISNUMBER(SEARCH("TARDE",UPPER(D195))),ISNUMBER(SEARCH("CORREIOS",UPPER(D195))),ISNUMBER(SEARCH("MATERIAL",UPPER(D195))),ISNUMBER(SEARCH("REAGENDADA",UPPER(D195))),ISNUMBER(SEARCH("REAGENDADO",UPPER(D195))),ISNUMBER(SEARCH("ALLTECH",UPPER(D195))),ISNUMBER(SEARCH("MA",UPPER(D195))),ISNUMBER(SEARCH("SEFAZ",UPPER(D195)))),"🟡 Acesso / MA / Logística",
IF(OR(ISNUMBER(SEARCH("FINALIZADO",UPPER(D195))),ISNUMBER(SEARCH("FINALIZADA",UPPER(D195))),ISNUMBER(SEARCH("MIGRADA",UPPER(D195)))),"✅ Concluído",
"A Verificar")))))))</f>
        <v>✅ Concluído</v>
      </c>
      <c r="F195" s="10"/>
      <c r="G195" s="11"/>
      <c r="H195" s="11" t="str">
        <f t="shared" ref="H195:H257" si="16">IF(G195="","",IF(AND(OR(ISNUMBER(SEARCH("TELEBRAS",UPPER(G195))),ISNUMBER(SEARCH("TLB",UPPER(G195))),ISNUMBER(SEARCH("LINK",UPPER(G195))),ISNUMBER(SEARCH("ROTA",UPPER(G195))),ISNUMBER(SEARCH("ENERGIA",UPPER(G195)))),OR(ISNUMBER(SEARCH("MVC",UPPER(G195))),ISNUMBER(SEARCH("FOTOS",UPPER(G195))),ISNUMBER(SEARCH("DOC",UPPER(G195))),ISNUMBER(SEARCH("TERMO",UPPER(G195))),ISNUMBER(SEARCH("CORREÇÃO",UPPER(G195))),ISNUMBER(SEARCH("CORRECAO",UPPER(G195))))),"🔴🟠 Misto (Telebras + MVC)",
 IF(OR(ISNUMBER(SEARCH("TELEBRAS",UPPER(G195))),ISNUMBER(SEARCH("TLB",UPPER(G195))),ISNUMBER(SEARCH("LINK",UPPER(G195))),ISNUMBER(SEARCH("ROTA",UPPER(G195))),ISNUMBER(SEARCH("ENERGIA",UPPER(G195)))),"🔴 Infraestrutura (Telebras)",
 IF(OR(ISNUMBER(SEARCH("MVC",UPPER(G195))),ISNUMBER(SEARCH("FOTOS",UPPER(G195))),ISNUMBER(SEARCH("DOC",UPPER(G195))),ISNUMBER(SEARCH("TERMO",UPPER(G195))),ISNUMBER(SEARCH("CORREÇÃO",UPPER(G195))),ISNUMBER(SEARCH("CORRECAO",UPPER(G195)))),"🟠 Pendência Operacional (MVC)",
 IF(OR(ISNUMBER(SEARCH("FECHADO",UPPER(G195))),ISNUMBER(SEARCH("HORÁRIO",UPPER(G195))),ISNUMBER(SEARCH("TARDE",UPPER(G195))),ISNUMBER(SEARCH("CORREIOS",UPPER(G195))),ISNUMBER(SEARCH("MATERIAL",UPPER(G195))),ISNUMBER(SEARCH("REAGENDADA",UPPER(G195))),ISNUMBER(SEARCH("REAGENDADO",UPPER(G195))),ISNUMBER(SEARCH("ALLTECH",UPPER(G195))),ISNUMBER(SEARCH("MA",UPPER(G195))),ISNUMBER(SEARCH("SEFAZ",UPPER(G195)))),"🟡 Acesso / Logística",
 IF(OR(ISNUMBER(SEARCH("FINALIZADO",UPPER(G195))),ISNUMBER(SEARCH("FINALIZADA",UPPER(G195))),ISNUMBER(SEARCH("MIGRADA",UPPER(G195)))),"✅ Concluído",
 "Outros / A Verificar"))))))</f>
        <v/>
      </c>
      <c r="I195" s="10"/>
      <c r="J195" s="11"/>
      <c r="K195" s="11" t="str">
        <f t="shared" si="14"/>
        <v/>
      </c>
      <c r="L195" s="11"/>
      <c r="M195" s="11"/>
    </row>
    <row r="196" spans="1:13" hidden="1" x14ac:dyDescent="0.25">
      <c r="A196" s="6" t="s">
        <v>426</v>
      </c>
      <c r="B196" s="7" t="s">
        <v>427</v>
      </c>
      <c r="C196" s="8">
        <v>45806</v>
      </c>
      <c r="D196" s="11" t="s">
        <v>15</v>
      </c>
      <c r="E196" s="9" t="str">
        <f t="shared" si="15"/>
        <v>✅ Concluído</v>
      </c>
      <c r="F196" s="10"/>
      <c r="G196" s="11"/>
      <c r="H196" s="11" t="str">
        <f t="shared" si="16"/>
        <v/>
      </c>
      <c r="I196" s="10"/>
      <c r="J196" s="11"/>
      <c r="K196" s="11" t="str">
        <f t="shared" si="14"/>
        <v/>
      </c>
      <c r="L196" s="11"/>
      <c r="M196" s="11"/>
    </row>
    <row r="197" spans="1:13" hidden="1" x14ac:dyDescent="0.25">
      <c r="A197" s="6" t="s">
        <v>428</v>
      </c>
      <c r="B197" s="7" t="s">
        <v>429</v>
      </c>
      <c r="C197" s="8">
        <v>45811</v>
      </c>
      <c r="D197" s="11" t="s">
        <v>15</v>
      </c>
      <c r="E197" s="9" t="str">
        <f t="shared" si="15"/>
        <v>✅ Concluído</v>
      </c>
      <c r="F197" s="10"/>
      <c r="G197" s="11"/>
      <c r="H197" s="11" t="str">
        <f t="shared" si="16"/>
        <v/>
      </c>
      <c r="I197" s="10"/>
      <c r="J197" s="11"/>
      <c r="K197" s="11" t="str">
        <f t="shared" si="14"/>
        <v/>
      </c>
      <c r="L197" s="11"/>
      <c r="M197" s="11"/>
    </row>
    <row r="198" spans="1:13" hidden="1" x14ac:dyDescent="0.25">
      <c r="A198" s="6" t="s">
        <v>430</v>
      </c>
      <c r="B198" s="7" t="s">
        <v>431</v>
      </c>
      <c r="C198" s="8">
        <v>45819</v>
      </c>
      <c r="D198" s="11" t="s">
        <v>650</v>
      </c>
      <c r="E198" s="9" t="str">
        <f t="shared" si="15"/>
        <v>🔴 Infraestrutura (Telebras)</v>
      </c>
      <c r="F198" s="10">
        <v>45882</v>
      </c>
      <c r="G198" s="11" t="s">
        <v>15</v>
      </c>
      <c r="H198" s="11" t="str">
        <f>IF(G198="","",IF(AND(OR(ISNUMBER(SEARCH("TELEBRAS",UPPER(G198))),ISNUMBER(SEARCH("TLB",UPPER(G198))),ISNUMBER(SEARCH("LINK",UPPER(G198))),ISNUMBER(SEARCH("ROTA",UPPER(G198))),ISNUMBER(SEARCH("ENERGIA",UPPER(G198)))),OR(ISNUMBER(SEARCH("MVC",UPPER(G198))),ISNUMBER(SEARCH("FOTOS",UPPER(G198))),ISNUMBER(SEARCH("DOC",UPPER(G198))),ISNUMBER(SEARCH("TERMO",UPPER(G198))),ISNUMBER(SEARCH("CORREÇÃO",UPPER(G198))),ISNUMBER(SEARCH("CORRECAO",UPPER(G198))))),"🔴🟠 Misto (Telebras + MVC)",
 IF(OR(ISNUMBER(SEARCH("TELEBRAS",UPPER(G198))),ISNUMBER(SEARCH("TLB",UPPER(G198))),ISNUMBER(SEARCH("LINK",UPPER(G198))),ISNUMBER(SEARCH("ROTA",UPPER(G198))),ISNUMBER(SEARCH("ENERGIA",UPPER(G198)))),"🔴 Infraestrutura (Telebras)",
 IF(OR(ISNUMBER(SEARCH("MVC",UPPER(G198))),ISNUMBER(SEARCH("FOTOS",UPPER(G198))),ISNUMBER(SEARCH("DOC",UPPER(G198))),ISNUMBER(SEARCH("TERMO",UPPER(G198))),ISNUMBER(SEARCH("CORREÇÃO",UPPER(G198))),ISNUMBER(SEARCH("CORRECAO",UPPER(G198)))),"🟠 Pendência Operacional (MVC)",
 IF(OR(ISNUMBER(SEARCH("FECHADO",UPPER(G198))),ISNUMBER(SEARCH("HORÁRIO",UPPER(G198))),ISNUMBER(SEARCH("TARDE",UPPER(G198))),ISNUMBER(SEARCH("CORREIOS",UPPER(G198))),ISNUMBER(SEARCH("MATERIAL",UPPER(G198))),ISNUMBER(SEARCH("REAGENDADA",UPPER(G198))),ISNUMBER(SEARCH("REAGENDADO",UPPER(G198))),ISNUMBER(SEARCH("ALLTECH",UPPER(G198))),ISNUMBER(SEARCH("MA",UPPER(G198))),ISNUMBER(SEARCH("SEFAZ",UPPER(G198)))),"🟡 Acesso / MA / Logística",
 IF(OR(ISNUMBER(SEARCH("FINALIZADO",UPPER(G198))),ISNUMBER(SEARCH("FINALIZADA",UPPER(G198))),ISNUMBER(SEARCH("MIGRADA",UPPER(G198)))),"✅ Concluído",
 "Outros / A Verificar"))))))</f>
        <v>✅ Concluído</v>
      </c>
      <c r="I198" s="10"/>
      <c r="J198" s="11"/>
      <c r="K198" s="11" t="str">
        <f t="shared" si="14"/>
        <v/>
      </c>
      <c r="L198" s="11"/>
      <c r="M198" s="11"/>
    </row>
    <row r="199" spans="1:13" hidden="1" x14ac:dyDescent="0.25">
      <c r="A199" s="6" t="s">
        <v>432</v>
      </c>
      <c r="B199" s="7" t="s">
        <v>433</v>
      </c>
      <c r="C199" s="8">
        <v>45800</v>
      </c>
      <c r="D199" s="11" t="s">
        <v>15</v>
      </c>
      <c r="E199" s="9" t="str">
        <f t="shared" si="15"/>
        <v>✅ Concluído</v>
      </c>
      <c r="F199" s="10"/>
      <c r="G199" s="11"/>
      <c r="H199" s="11" t="str">
        <f t="shared" si="16"/>
        <v/>
      </c>
      <c r="I199" s="10"/>
      <c r="J199" s="11"/>
      <c r="K199" s="11" t="str">
        <f t="shared" si="14"/>
        <v/>
      </c>
      <c r="L199" s="11"/>
      <c r="M199" s="11"/>
    </row>
    <row r="200" spans="1:13" hidden="1" x14ac:dyDescent="0.25">
      <c r="A200" s="6" t="s">
        <v>434</v>
      </c>
      <c r="B200" s="7" t="s">
        <v>435</v>
      </c>
      <c r="C200" s="8">
        <v>45824</v>
      </c>
      <c r="D200" s="11" t="s">
        <v>15</v>
      </c>
      <c r="E200" s="9" t="str">
        <f t="shared" si="15"/>
        <v>✅ Concluído</v>
      </c>
      <c r="F200" s="10"/>
      <c r="G200" s="11"/>
      <c r="H200" s="11" t="str">
        <f t="shared" si="16"/>
        <v/>
      </c>
      <c r="I200" s="10"/>
      <c r="J200" s="11"/>
      <c r="K200" s="11" t="str">
        <f t="shared" si="14"/>
        <v/>
      </c>
      <c r="L200" s="11"/>
      <c r="M200" s="11"/>
    </row>
    <row r="201" spans="1:13" hidden="1" x14ac:dyDescent="0.25">
      <c r="A201" s="6" t="s">
        <v>436</v>
      </c>
      <c r="B201" s="7" t="s">
        <v>437</v>
      </c>
      <c r="C201" s="8">
        <v>45821</v>
      </c>
      <c r="D201" s="11" t="s">
        <v>15</v>
      </c>
      <c r="E201" s="9" t="str">
        <f t="shared" si="15"/>
        <v>✅ Concluído</v>
      </c>
      <c r="F201" s="10"/>
      <c r="G201" s="11"/>
      <c r="H201" s="11" t="str">
        <f t="shared" si="16"/>
        <v/>
      </c>
      <c r="I201" s="10"/>
      <c r="J201" s="11"/>
      <c r="K201" s="11" t="str">
        <f t="shared" si="14"/>
        <v/>
      </c>
      <c r="L201" s="11"/>
      <c r="M201" s="11"/>
    </row>
    <row r="202" spans="1:13" hidden="1" x14ac:dyDescent="0.25">
      <c r="A202" s="6" t="s">
        <v>438</v>
      </c>
      <c r="B202" s="7" t="s">
        <v>439</v>
      </c>
      <c r="C202" s="8">
        <v>45811</v>
      </c>
      <c r="D202" s="11" t="s">
        <v>15</v>
      </c>
      <c r="E202" s="9" t="str">
        <f t="shared" si="15"/>
        <v>✅ Concluído</v>
      </c>
      <c r="F202" s="10"/>
      <c r="G202" s="11"/>
      <c r="H202" s="11" t="str">
        <f t="shared" si="16"/>
        <v/>
      </c>
      <c r="I202" s="10"/>
      <c r="J202" s="11"/>
      <c r="K202" s="11" t="str">
        <f t="shared" si="14"/>
        <v/>
      </c>
      <c r="L202" s="11"/>
      <c r="M202" s="11"/>
    </row>
    <row r="203" spans="1:13" hidden="1" x14ac:dyDescent="0.25">
      <c r="A203" s="6" t="s">
        <v>440</v>
      </c>
      <c r="B203" s="7" t="s">
        <v>441</v>
      </c>
      <c r="C203" s="8">
        <v>45803</v>
      </c>
      <c r="D203" s="11" t="s">
        <v>15</v>
      </c>
      <c r="E203" s="9" t="str">
        <f t="shared" si="15"/>
        <v>✅ Concluído</v>
      </c>
      <c r="F203" s="10"/>
      <c r="G203" s="11"/>
      <c r="H203" s="11" t="str">
        <f t="shared" si="16"/>
        <v/>
      </c>
      <c r="I203" s="10"/>
      <c r="J203" s="11"/>
      <c r="K203" s="11" t="str">
        <f t="shared" si="14"/>
        <v/>
      </c>
      <c r="L203" s="11"/>
      <c r="M203" s="11"/>
    </row>
    <row r="204" spans="1:13" hidden="1" x14ac:dyDescent="0.25">
      <c r="A204" s="6" t="s">
        <v>442</v>
      </c>
      <c r="B204" s="7" t="s">
        <v>443</v>
      </c>
      <c r="C204" s="8">
        <v>45814</v>
      </c>
      <c r="D204" s="11" t="s">
        <v>15</v>
      </c>
      <c r="E204" s="9" t="str">
        <f t="shared" si="15"/>
        <v>✅ Concluído</v>
      </c>
      <c r="F204" s="10"/>
      <c r="G204" s="11"/>
      <c r="H204" s="11" t="str">
        <f t="shared" si="16"/>
        <v/>
      </c>
      <c r="I204" s="10"/>
      <c r="J204" s="11"/>
      <c r="K204" s="11" t="str">
        <f t="shared" si="14"/>
        <v/>
      </c>
      <c r="L204" s="11"/>
      <c r="M204" s="11"/>
    </row>
    <row r="205" spans="1:13" hidden="1" x14ac:dyDescent="0.25">
      <c r="A205" s="6" t="s">
        <v>444</v>
      </c>
      <c r="B205" s="7" t="s">
        <v>445</v>
      </c>
      <c r="C205" s="8">
        <v>45791</v>
      </c>
      <c r="D205" s="9" t="s">
        <v>15</v>
      </c>
      <c r="E205" s="9" t="str">
        <f t="shared" si="15"/>
        <v>✅ Concluído</v>
      </c>
      <c r="F205" s="10"/>
      <c r="G205" s="11"/>
      <c r="H205" s="11" t="str">
        <f t="shared" si="16"/>
        <v/>
      </c>
      <c r="I205" s="10"/>
      <c r="J205" s="11"/>
      <c r="K205" s="11" t="str">
        <f t="shared" si="14"/>
        <v/>
      </c>
      <c r="L205" s="11"/>
      <c r="M205" s="11"/>
    </row>
    <row r="206" spans="1:13" hidden="1" x14ac:dyDescent="0.25">
      <c r="A206" s="6" t="s">
        <v>446</v>
      </c>
      <c r="B206" s="7" t="s">
        <v>447</v>
      </c>
      <c r="C206" s="8">
        <v>45869</v>
      </c>
      <c r="D206" s="11" t="s">
        <v>15</v>
      </c>
      <c r="E206" s="9" t="str">
        <f t="shared" si="15"/>
        <v>✅ Concluído</v>
      </c>
      <c r="F206" s="10"/>
      <c r="G206" s="11"/>
      <c r="H206" s="11" t="str">
        <f t="shared" si="16"/>
        <v/>
      </c>
      <c r="I206" s="10"/>
      <c r="J206" s="11"/>
      <c r="K206" s="11" t="str">
        <f t="shared" si="14"/>
        <v/>
      </c>
      <c r="L206" s="11"/>
      <c r="M206" s="11"/>
    </row>
    <row r="207" spans="1:13" hidden="1" x14ac:dyDescent="0.25">
      <c r="A207" s="6" t="s">
        <v>448</v>
      </c>
      <c r="B207" s="7" t="s">
        <v>449</v>
      </c>
      <c r="C207" s="8">
        <v>45868</v>
      </c>
      <c r="D207" s="11" t="s">
        <v>15</v>
      </c>
      <c r="E207" s="9" t="str">
        <f t="shared" si="15"/>
        <v>✅ Concluído</v>
      </c>
      <c r="F207" s="10"/>
      <c r="G207" s="11"/>
      <c r="H207" s="11" t="str">
        <f t="shared" si="16"/>
        <v/>
      </c>
      <c r="I207" s="10"/>
      <c r="J207" s="11"/>
      <c r="K207" s="11" t="str">
        <f t="shared" si="14"/>
        <v/>
      </c>
      <c r="L207" s="11"/>
      <c r="M207" s="11"/>
    </row>
    <row r="208" spans="1:13" hidden="1" x14ac:dyDescent="0.25">
      <c r="A208" s="6" t="s">
        <v>450</v>
      </c>
      <c r="B208" s="7" t="s">
        <v>451</v>
      </c>
      <c r="C208" s="8">
        <v>45870</v>
      </c>
      <c r="D208" s="11" t="s">
        <v>650</v>
      </c>
      <c r="E208" s="9" t="str">
        <f t="shared" si="15"/>
        <v>🔴 Infraestrutura (Telebras)</v>
      </c>
      <c r="F208" s="10"/>
      <c r="G208" s="11"/>
      <c r="H208" s="11" t="str">
        <f t="shared" si="16"/>
        <v/>
      </c>
      <c r="I208" s="10"/>
      <c r="J208" s="11"/>
      <c r="K208" s="11" t="str">
        <f t="shared" si="14"/>
        <v/>
      </c>
      <c r="L208" s="11"/>
      <c r="M208" s="11"/>
    </row>
    <row r="209" spans="1:13" hidden="1" x14ac:dyDescent="0.25">
      <c r="A209" s="6" t="s">
        <v>452</v>
      </c>
      <c r="B209" s="7" t="s">
        <v>453</v>
      </c>
      <c r="C209" s="8">
        <v>45876</v>
      </c>
      <c r="D209" s="11" t="s">
        <v>15</v>
      </c>
      <c r="E209" s="9" t="str">
        <f t="shared" si="15"/>
        <v>✅ Concluído</v>
      </c>
      <c r="F209" s="10"/>
      <c r="G209" s="11"/>
      <c r="H209" s="11" t="str">
        <f t="shared" si="16"/>
        <v/>
      </c>
      <c r="I209" s="10"/>
      <c r="J209" s="11"/>
      <c r="K209" s="11" t="str">
        <f t="shared" si="14"/>
        <v/>
      </c>
      <c r="L209" s="11"/>
      <c r="M209" s="11"/>
    </row>
    <row r="210" spans="1:13" hidden="1" x14ac:dyDescent="0.25">
      <c r="A210" s="6" t="s">
        <v>454</v>
      </c>
      <c r="B210" s="7" t="s">
        <v>455</v>
      </c>
      <c r="C210" s="8">
        <v>45877</v>
      </c>
      <c r="D210" s="11" t="s">
        <v>15</v>
      </c>
      <c r="E210" s="9" t="str">
        <f t="shared" si="15"/>
        <v>✅ Concluído</v>
      </c>
      <c r="F210" s="10"/>
      <c r="G210" s="11"/>
      <c r="H210" s="11" t="str">
        <f t="shared" si="16"/>
        <v/>
      </c>
      <c r="I210" s="10"/>
      <c r="J210" s="11"/>
      <c r="K210" s="11" t="str">
        <f t="shared" si="14"/>
        <v/>
      </c>
      <c r="L210" s="11"/>
      <c r="M210" s="11"/>
    </row>
    <row r="211" spans="1:13" hidden="1" x14ac:dyDescent="0.25">
      <c r="A211" s="6" t="s">
        <v>456</v>
      </c>
      <c r="B211" s="7" t="s">
        <v>457</v>
      </c>
      <c r="C211" s="8">
        <v>45806</v>
      </c>
      <c r="D211" s="11" t="s">
        <v>15</v>
      </c>
      <c r="E211" s="9" t="str">
        <f t="shared" si="15"/>
        <v>✅ Concluído</v>
      </c>
      <c r="F211" s="10"/>
      <c r="G211" s="11"/>
      <c r="H211" s="11" t="str">
        <f t="shared" si="16"/>
        <v/>
      </c>
      <c r="I211" s="10"/>
      <c r="J211" s="11"/>
      <c r="K211" s="11" t="str">
        <f t="shared" si="14"/>
        <v/>
      </c>
      <c r="L211" s="11"/>
      <c r="M211" s="11"/>
    </row>
    <row r="212" spans="1:13" hidden="1" x14ac:dyDescent="0.25">
      <c r="A212" s="6" t="s">
        <v>458</v>
      </c>
      <c r="B212" s="7" t="s">
        <v>459</v>
      </c>
      <c r="C212" s="8">
        <v>45776</v>
      </c>
      <c r="D212" s="11" t="s">
        <v>14</v>
      </c>
      <c r="E212" s="9" t="str">
        <f t="shared" si="15"/>
        <v>🟠 Pendência Operacional (MVC)</v>
      </c>
      <c r="F212" s="10">
        <v>45782</v>
      </c>
      <c r="G212" s="11" t="s">
        <v>15</v>
      </c>
      <c r="H212" s="11" t="str">
        <f>IF(G212="","",IF(AND(OR(ISNUMBER(SEARCH("TELEBRAS",UPPER(G212))),ISNUMBER(SEARCH("TLB",UPPER(G212))),ISNUMBER(SEARCH("LINK",UPPER(G212))),ISNUMBER(SEARCH("ROTA",UPPER(G212))),ISNUMBER(SEARCH("ENERGIA",UPPER(G212)))),OR(ISNUMBER(SEARCH("MVC",UPPER(G212))),ISNUMBER(SEARCH("FOTOS",UPPER(G212))),ISNUMBER(SEARCH("DOC",UPPER(G212))),ISNUMBER(SEARCH("TERMO",UPPER(G212))),ISNUMBER(SEARCH("CORREÇÃO",UPPER(G212))),ISNUMBER(SEARCH("CORRECAO",UPPER(G212))))),"🔴🟠 Misto (Telebras + MVC)",
 IF(OR(ISNUMBER(SEARCH("TELEBRAS",UPPER(G212))),ISNUMBER(SEARCH("TLB",UPPER(G212))),ISNUMBER(SEARCH("LINK",UPPER(G212))),ISNUMBER(SEARCH("ROTA",UPPER(G212))),ISNUMBER(SEARCH("ENERGIA",UPPER(G212)))),"🔴 Infraestrutura (Telebras)",
 IF(OR(ISNUMBER(SEARCH("MVC",UPPER(G212))),ISNUMBER(SEARCH("FOTOS",UPPER(G212))),ISNUMBER(SEARCH("DOC",UPPER(G212))),ISNUMBER(SEARCH("TERMO",UPPER(G212))),ISNUMBER(SEARCH("CORREÇÃO",UPPER(G212))),ISNUMBER(SEARCH("CORRECAO",UPPER(G212)))),"🟠 Pendência Operacional (MVC)",
 IF(OR(ISNUMBER(SEARCH("FECHADO",UPPER(G212))),ISNUMBER(SEARCH("HORÁRIO",UPPER(G212))),ISNUMBER(SEARCH("TARDE",UPPER(G212))),ISNUMBER(SEARCH("CORREIOS",UPPER(G212))),ISNUMBER(SEARCH("MATERIAL",UPPER(G212))),ISNUMBER(SEARCH("REAGENDADA",UPPER(G212))),ISNUMBER(SEARCH("REAGENDADO",UPPER(G212))),ISNUMBER(SEARCH("ALLTECH",UPPER(G212))),ISNUMBER(SEARCH("MA",UPPER(G212))),ISNUMBER(SEARCH("SEFAZ",UPPER(G212)))),"🟡 Acesso / MA / Logística",
 IF(OR(ISNUMBER(SEARCH("FINALIZADO",UPPER(G212))),ISNUMBER(SEARCH("FINALIZADA",UPPER(G212))),ISNUMBER(SEARCH("MIGRADA",UPPER(G212)))),"✅ Concluído",
 "Outros / A Verificar"))))))</f>
        <v>✅ Concluído</v>
      </c>
      <c r="I212" s="10"/>
      <c r="J212" s="11"/>
      <c r="K212" s="11" t="str">
        <f t="shared" si="14"/>
        <v/>
      </c>
      <c r="L212" s="11"/>
      <c r="M212" s="11"/>
    </row>
    <row r="213" spans="1:13" hidden="1" x14ac:dyDescent="0.25">
      <c r="A213" s="6" t="s">
        <v>460</v>
      </c>
      <c r="B213" s="7" t="s">
        <v>461</v>
      </c>
      <c r="C213" s="8">
        <v>45875</v>
      </c>
      <c r="D213" s="11" t="s">
        <v>15</v>
      </c>
      <c r="E213" s="9" t="str">
        <f t="shared" si="15"/>
        <v>✅ Concluído</v>
      </c>
      <c r="F213" s="10"/>
      <c r="G213" s="11"/>
      <c r="H213" s="11" t="str">
        <f t="shared" si="16"/>
        <v/>
      </c>
      <c r="I213" s="10"/>
      <c r="J213" s="11"/>
      <c r="K213" s="11" t="str">
        <f t="shared" si="14"/>
        <v/>
      </c>
      <c r="L213" s="11"/>
      <c r="M213" s="11"/>
    </row>
    <row r="214" spans="1:13" hidden="1" x14ac:dyDescent="0.25">
      <c r="A214" s="6" t="s">
        <v>462</v>
      </c>
      <c r="B214" s="7" t="s">
        <v>463</v>
      </c>
      <c r="C214" s="8">
        <v>45807</v>
      </c>
      <c r="D214" s="11" t="s">
        <v>15</v>
      </c>
      <c r="E214" s="9" t="str">
        <f t="shared" si="15"/>
        <v>✅ Concluído</v>
      </c>
      <c r="F214" s="10"/>
      <c r="G214" s="11"/>
      <c r="H214" s="11" t="str">
        <f t="shared" si="16"/>
        <v/>
      </c>
      <c r="I214" s="10"/>
      <c r="J214" s="11"/>
      <c r="K214" s="11" t="str">
        <f t="shared" si="14"/>
        <v/>
      </c>
      <c r="L214" s="11"/>
      <c r="M214" s="11"/>
    </row>
    <row r="215" spans="1:13" hidden="1" x14ac:dyDescent="0.25">
      <c r="A215" s="6" t="s">
        <v>464</v>
      </c>
      <c r="B215" s="7" t="s">
        <v>465</v>
      </c>
      <c r="C215" s="8">
        <v>45874</v>
      </c>
      <c r="D215" s="11" t="s">
        <v>15</v>
      </c>
      <c r="E215" s="9" t="str">
        <f t="shared" si="15"/>
        <v>✅ Concluído</v>
      </c>
      <c r="F215" s="10"/>
      <c r="G215" s="11"/>
      <c r="H215" s="11" t="str">
        <f t="shared" si="16"/>
        <v/>
      </c>
      <c r="I215" s="10"/>
      <c r="J215" s="11"/>
      <c r="K215" s="11" t="str">
        <f t="shared" si="14"/>
        <v/>
      </c>
      <c r="L215" s="11"/>
      <c r="M215" s="11"/>
    </row>
    <row r="216" spans="1:13" hidden="1" x14ac:dyDescent="0.25">
      <c r="A216" s="6" t="s">
        <v>466</v>
      </c>
      <c r="B216" s="7" t="s">
        <v>467</v>
      </c>
      <c r="C216" s="8">
        <v>45831</v>
      </c>
      <c r="D216" s="11" t="s">
        <v>15</v>
      </c>
      <c r="E216" s="9" t="str">
        <f t="shared" si="15"/>
        <v>✅ Concluído</v>
      </c>
      <c r="F216" s="10"/>
      <c r="G216" s="11"/>
      <c r="H216" s="11" t="str">
        <f t="shared" si="16"/>
        <v/>
      </c>
      <c r="I216" s="10"/>
      <c r="J216" s="11"/>
      <c r="K216" s="11" t="str">
        <f t="shared" si="14"/>
        <v/>
      </c>
      <c r="L216" s="11"/>
      <c r="M216" s="11"/>
    </row>
    <row r="217" spans="1:13" hidden="1" x14ac:dyDescent="0.25">
      <c r="A217" s="6" t="s">
        <v>468</v>
      </c>
      <c r="B217" s="7" t="s">
        <v>469</v>
      </c>
      <c r="C217" s="8">
        <v>45805</v>
      </c>
      <c r="D217" s="11" t="s">
        <v>15</v>
      </c>
      <c r="E217" s="9" t="str">
        <f t="shared" si="15"/>
        <v>✅ Concluído</v>
      </c>
      <c r="F217" s="10"/>
      <c r="G217" s="11"/>
      <c r="H217" s="11" t="str">
        <f t="shared" si="16"/>
        <v/>
      </c>
      <c r="I217" s="10"/>
      <c r="J217" s="11"/>
      <c r="K217" s="11" t="str">
        <f t="shared" si="14"/>
        <v/>
      </c>
      <c r="L217" s="11"/>
      <c r="M217" s="11"/>
    </row>
    <row r="218" spans="1:13" hidden="1" x14ac:dyDescent="0.25">
      <c r="A218" s="6" t="s">
        <v>470</v>
      </c>
      <c r="B218" s="7" t="s">
        <v>471</v>
      </c>
      <c r="C218" s="8">
        <v>45798</v>
      </c>
      <c r="D218" s="11" t="s">
        <v>14</v>
      </c>
      <c r="E218" s="9" t="str">
        <f t="shared" si="15"/>
        <v>🟠 Pendência Operacional (MVC)</v>
      </c>
      <c r="F218" s="10">
        <v>45923</v>
      </c>
      <c r="G218" s="11" t="s">
        <v>15</v>
      </c>
      <c r="H218" s="11" t="str">
        <f t="shared" ref="H218:H220" si="17">IF(G218="","",IF(AND(OR(ISNUMBER(SEARCH("TELEBRAS",UPPER(G218))),ISNUMBER(SEARCH("TLB",UPPER(G218))),ISNUMBER(SEARCH("LINK",UPPER(G218))),ISNUMBER(SEARCH("ROTA",UPPER(G218))),ISNUMBER(SEARCH("ENERGIA",UPPER(G218)))),OR(ISNUMBER(SEARCH("MVC",UPPER(G218))),ISNUMBER(SEARCH("FOTOS",UPPER(G218))),ISNUMBER(SEARCH("DOC",UPPER(G218))),ISNUMBER(SEARCH("TERMO",UPPER(G218))),ISNUMBER(SEARCH("CORREÇÃO",UPPER(G218))),ISNUMBER(SEARCH("CORRECAO",UPPER(G218))))),"🔴🟠 Misto (Telebras + MVC)",
 IF(OR(ISNUMBER(SEARCH("TELEBRAS",UPPER(G218))),ISNUMBER(SEARCH("TLB",UPPER(G218))),ISNUMBER(SEARCH("LINK",UPPER(G218))),ISNUMBER(SEARCH("ROTA",UPPER(G218))),ISNUMBER(SEARCH("ENERGIA",UPPER(G218)))),"🔴 Infraestrutura (Telebras)",
 IF(OR(ISNUMBER(SEARCH("MVC",UPPER(G218))),ISNUMBER(SEARCH("FOTOS",UPPER(G218))),ISNUMBER(SEARCH("DOC",UPPER(G218))),ISNUMBER(SEARCH("TERMO",UPPER(G218))),ISNUMBER(SEARCH("CORREÇÃO",UPPER(G218))),ISNUMBER(SEARCH("CORRECAO",UPPER(G218)))),"🟠 Pendência Operacional (MVC)",
 IF(OR(ISNUMBER(SEARCH("FECHADO",UPPER(G218))),ISNUMBER(SEARCH("HORÁRIO",UPPER(G218))),ISNUMBER(SEARCH("TARDE",UPPER(G218))),ISNUMBER(SEARCH("CORREIOS",UPPER(G218))),ISNUMBER(SEARCH("MATERIAL",UPPER(G218))),ISNUMBER(SEARCH("REAGENDADA",UPPER(G218))),ISNUMBER(SEARCH("REAGENDADO",UPPER(G218))),ISNUMBER(SEARCH("ALLTECH",UPPER(G218))),ISNUMBER(SEARCH("MA",UPPER(G218))),ISNUMBER(SEARCH("SEFAZ",UPPER(G218)))),"🟡 Acesso / MA / Logística",
 IF(OR(ISNUMBER(SEARCH("FINALIZADO",UPPER(G218))),ISNUMBER(SEARCH("FINALIZADA",UPPER(G218))),ISNUMBER(SEARCH("MIGRADA",UPPER(G218)))),"✅ Concluído",
 "Outros / A Verificar"))))))</f>
        <v>✅ Concluído</v>
      </c>
      <c r="I218" s="10"/>
      <c r="J218" s="11"/>
      <c r="K218" s="11" t="str">
        <f t="shared" si="14"/>
        <v/>
      </c>
      <c r="L218" s="11"/>
      <c r="M218" s="11"/>
    </row>
    <row r="219" spans="1:13" hidden="1" x14ac:dyDescent="0.25">
      <c r="A219" s="6" t="s">
        <v>472</v>
      </c>
      <c r="B219" s="7" t="s">
        <v>473</v>
      </c>
      <c r="C219" s="8">
        <v>45873</v>
      </c>
      <c r="D219" s="11" t="s">
        <v>650</v>
      </c>
      <c r="E219" s="9" t="str">
        <f t="shared" si="15"/>
        <v>🔴 Infraestrutura (Telebras)</v>
      </c>
      <c r="F219" s="10">
        <v>45932</v>
      </c>
      <c r="G219" s="11" t="s">
        <v>15</v>
      </c>
      <c r="H219" s="11" t="str">
        <f t="shared" si="17"/>
        <v>✅ Concluído</v>
      </c>
      <c r="I219" s="10"/>
      <c r="J219" s="11"/>
      <c r="K219" s="11" t="str">
        <f t="shared" si="14"/>
        <v/>
      </c>
      <c r="L219" s="11"/>
      <c r="M219" s="11"/>
    </row>
    <row r="220" spans="1:13" ht="36" hidden="1" x14ac:dyDescent="0.25">
      <c r="A220" s="6" t="s">
        <v>474</v>
      </c>
      <c r="B220" s="7" t="s">
        <v>475</v>
      </c>
      <c r="C220" s="8">
        <v>45895</v>
      </c>
      <c r="D220" s="11" t="s">
        <v>848</v>
      </c>
      <c r="E220" s="9" t="str">
        <f t="shared" si="15"/>
        <v>🟡 Acesso / MA / Logística</v>
      </c>
      <c r="F220" s="10">
        <v>45909</v>
      </c>
      <c r="G220" s="11" t="s">
        <v>876</v>
      </c>
      <c r="H220" s="11" t="str">
        <f t="shared" si="17"/>
        <v>🟠 Pendência Operacional (MVC)</v>
      </c>
      <c r="I220" s="10"/>
      <c r="J220" s="11"/>
      <c r="K220" s="11" t="str">
        <f t="shared" si="14"/>
        <v/>
      </c>
      <c r="L220" s="11"/>
      <c r="M220" s="11"/>
    </row>
    <row r="221" spans="1:13" hidden="1" x14ac:dyDescent="0.25">
      <c r="A221" s="6" t="s">
        <v>476</v>
      </c>
      <c r="B221" s="7" t="s">
        <v>477</v>
      </c>
      <c r="C221" s="8">
        <v>45894</v>
      </c>
      <c r="D221" s="11" t="s">
        <v>15</v>
      </c>
      <c r="E221" s="9" t="str">
        <f t="shared" si="15"/>
        <v>✅ Concluído</v>
      </c>
      <c r="F221" s="10"/>
      <c r="G221" s="11"/>
      <c r="H221" s="11" t="str">
        <f t="shared" si="16"/>
        <v/>
      </c>
      <c r="I221" s="10"/>
      <c r="J221" s="11"/>
      <c r="K221" s="11" t="str">
        <f t="shared" si="14"/>
        <v/>
      </c>
      <c r="L221" s="11"/>
      <c r="M221" s="11"/>
    </row>
    <row r="222" spans="1:13" hidden="1" x14ac:dyDescent="0.25">
      <c r="A222" s="6" t="s">
        <v>478</v>
      </c>
      <c r="B222" s="7" t="s">
        <v>479</v>
      </c>
      <c r="C222" s="8">
        <v>45896</v>
      </c>
      <c r="D222" s="11" t="s">
        <v>650</v>
      </c>
      <c r="E222" s="9" t="str">
        <f t="shared" si="15"/>
        <v>🔴 Infraestrutura (Telebras)</v>
      </c>
      <c r="F222" s="10">
        <v>45966</v>
      </c>
      <c r="G222" s="11" t="s">
        <v>15</v>
      </c>
      <c r="H222" s="11" t="str">
        <f>IF(G222="","",IF(AND(OR(ISNUMBER(SEARCH("TELEBRAS",UPPER(G222))),ISNUMBER(SEARCH("TLB",UPPER(G222))),ISNUMBER(SEARCH("LINK",UPPER(G222))),ISNUMBER(SEARCH("ROTA",UPPER(G222))),ISNUMBER(SEARCH("ENERGIA",UPPER(G222)))),OR(ISNUMBER(SEARCH("MVC",UPPER(G222))),ISNUMBER(SEARCH("FOTOS",UPPER(G222))),ISNUMBER(SEARCH("DOC",UPPER(G222))),ISNUMBER(SEARCH("TERMO",UPPER(G222))),ISNUMBER(SEARCH("CORREÇÃO",UPPER(G222))),ISNUMBER(SEARCH("CORRECAO",UPPER(G222))))),"🔴🟠 Misto (Telebras + MVC)",
 IF(OR(ISNUMBER(SEARCH("TELEBRAS",UPPER(G222))),ISNUMBER(SEARCH("TLB",UPPER(G222))),ISNUMBER(SEARCH("LINK",UPPER(G222))),ISNUMBER(SEARCH("ROTA",UPPER(G222))),ISNUMBER(SEARCH("ENERGIA",UPPER(G222)))),"🔴 Infraestrutura (Telebras)",
 IF(OR(ISNUMBER(SEARCH("MVC",UPPER(G222))),ISNUMBER(SEARCH("FOTOS",UPPER(G222))),ISNUMBER(SEARCH("DOC",UPPER(G222))),ISNUMBER(SEARCH("TERMO",UPPER(G222))),ISNUMBER(SEARCH("CORREÇÃO",UPPER(G222))),ISNUMBER(SEARCH("CORRECAO",UPPER(G222)))),"🟠 Pendência Operacional (MVC)",
 IF(OR(ISNUMBER(SEARCH("FECHADO",UPPER(G222))),ISNUMBER(SEARCH("HORÁRIO",UPPER(G222))),ISNUMBER(SEARCH("TARDE",UPPER(G222))),ISNUMBER(SEARCH("CORREIOS",UPPER(G222))),ISNUMBER(SEARCH("MATERIAL",UPPER(G222))),ISNUMBER(SEARCH("REAGENDADA",UPPER(G222))),ISNUMBER(SEARCH("REAGENDADO",UPPER(G222))),ISNUMBER(SEARCH("ALLTECH",UPPER(G222))),ISNUMBER(SEARCH("MA",UPPER(G222))),ISNUMBER(SEARCH("SEFAZ",UPPER(G222)))),"🟡 Acesso / MA / Logística",
 IF(OR(ISNUMBER(SEARCH("FINALIZADO",UPPER(G222))),ISNUMBER(SEARCH("FINALIZADA",UPPER(G222))),ISNUMBER(SEARCH("MIGRADA",UPPER(G222)))),"✅ Concluído",
 "Outros / A Verificar"))))))</f>
        <v>✅ Concluído</v>
      </c>
      <c r="I222" s="10"/>
      <c r="J222" s="11"/>
      <c r="K222" s="11" t="str">
        <f t="shared" si="14"/>
        <v/>
      </c>
      <c r="L222" s="11"/>
      <c r="M222" s="11"/>
    </row>
    <row r="223" spans="1:13" hidden="1" x14ac:dyDescent="0.25">
      <c r="A223" s="6" t="s">
        <v>480</v>
      </c>
      <c r="B223" s="7" t="s">
        <v>481</v>
      </c>
      <c r="C223" s="8">
        <v>45877</v>
      </c>
      <c r="D223" s="9" t="s">
        <v>863</v>
      </c>
      <c r="E223" s="9" t="str">
        <f t="shared" si="15"/>
        <v>CANCELADO</v>
      </c>
      <c r="F223" s="10"/>
      <c r="G223" s="11"/>
      <c r="H223" s="11" t="str">
        <f t="shared" si="16"/>
        <v/>
      </c>
      <c r="I223" s="10"/>
      <c r="J223" s="11"/>
      <c r="K223" s="11" t="str">
        <f t="shared" si="14"/>
        <v/>
      </c>
      <c r="L223" s="11"/>
      <c r="M223" s="11"/>
    </row>
    <row r="224" spans="1:13" hidden="1" x14ac:dyDescent="0.25">
      <c r="A224" s="6" t="s">
        <v>482</v>
      </c>
      <c r="B224" s="7" t="s">
        <v>483</v>
      </c>
      <c r="C224" s="8">
        <v>45825</v>
      </c>
      <c r="D224" s="11" t="s">
        <v>650</v>
      </c>
      <c r="E224" s="9" t="str">
        <f t="shared" si="15"/>
        <v>🔴 Infraestrutura (Telebras)</v>
      </c>
      <c r="F224" s="10"/>
      <c r="G224" s="11"/>
      <c r="H224" s="11" t="str">
        <f t="shared" si="16"/>
        <v/>
      </c>
      <c r="I224" s="10"/>
      <c r="J224" s="11"/>
      <c r="K224" s="11" t="str">
        <f t="shared" si="14"/>
        <v/>
      </c>
      <c r="L224" s="11"/>
      <c r="M224" s="11"/>
    </row>
    <row r="225" spans="1:13" hidden="1" x14ac:dyDescent="0.25">
      <c r="A225" s="6" t="s">
        <v>484</v>
      </c>
      <c r="B225" s="7" t="s">
        <v>485</v>
      </c>
      <c r="C225" s="8">
        <v>45841</v>
      </c>
      <c r="D225" s="11" t="s">
        <v>650</v>
      </c>
      <c r="E225" s="9" t="str">
        <f t="shared" si="15"/>
        <v>🔴 Infraestrutura (Telebras)</v>
      </c>
      <c r="F225" s="10">
        <v>45912</v>
      </c>
      <c r="G225" s="11" t="s">
        <v>15</v>
      </c>
      <c r="H225" s="11" t="str">
        <f>IF(G225="","",IF(AND(OR(ISNUMBER(SEARCH("TELEBRAS",UPPER(G225))),ISNUMBER(SEARCH("TLB",UPPER(G225))),ISNUMBER(SEARCH("LINK",UPPER(G225))),ISNUMBER(SEARCH("ROTA",UPPER(G225))),ISNUMBER(SEARCH("ENERGIA",UPPER(G225)))),OR(ISNUMBER(SEARCH("MVC",UPPER(G225))),ISNUMBER(SEARCH("FOTOS",UPPER(G225))),ISNUMBER(SEARCH("DOC",UPPER(G225))),ISNUMBER(SEARCH("TERMO",UPPER(G225))),ISNUMBER(SEARCH("CORREÇÃO",UPPER(G225))),ISNUMBER(SEARCH("CORRECAO",UPPER(G225))))),"🔴🟠 Misto (Telebras + MVC)",
 IF(OR(ISNUMBER(SEARCH("TELEBRAS",UPPER(G225))),ISNUMBER(SEARCH("TLB",UPPER(G225))),ISNUMBER(SEARCH("LINK",UPPER(G225))),ISNUMBER(SEARCH("ROTA",UPPER(G225))),ISNUMBER(SEARCH("ENERGIA",UPPER(G225)))),"🔴 Infraestrutura (Telebras)",
 IF(OR(ISNUMBER(SEARCH("MVC",UPPER(G225))),ISNUMBER(SEARCH("FOTOS",UPPER(G225))),ISNUMBER(SEARCH("DOC",UPPER(G225))),ISNUMBER(SEARCH("TERMO",UPPER(G225))),ISNUMBER(SEARCH("CORREÇÃO",UPPER(G225))),ISNUMBER(SEARCH("CORRECAO",UPPER(G225)))),"🟠 Pendência Operacional (MVC)",
 IF(OR(ISNUMBER(SEARCH("FECHADO",UPPER(G225))),ISNUMBER(SEARCH("HORÁRIO",UPPER(G225))),ISNUMBER(SEARCH("TARDE",UPPER(G225))),ISNUMBER(SEARCH("CORREIOS",UPPER(G225))),ISNUMBER(SEARCH("MATERIAL",UPPER(G225))),ISNUMBER(SEARCH("REAGENDADA",UPPER(G225))),ISNUMBER(SEARCH("REAGENDADO",UPPER(G225))),ISNUMBER(SEARCH("ALLTECH",UPPER(G225))),ISNUMBER(SEARCH("MA",UPPER(G225))),ISNUMBER(SEARCH("SEFAZ",UPPER(G225)))),"🟡 Acesso / MA / Logística",
 IF(OR(ISNUMBER(SEARCH("FINALIZADO",UPPER(G225))),ISNUMBER(SEARCH("FINALIZADA",UPPER(G225))),ISNUMBER(SEARCH("MIGRADA",UPPER(G225)))),"✅ Concluído",
 "Outros / A Verificar"))))))</f>
        <v>✅ Concluído</v>
      </c>
      <c r="I225" s="10"/>
      <c r="J225" s="11"/>
      <c r="K225" s="11" t="str">
        <f t="shared" si="14"/>
        <v/>
      </c>
      <c r="L225" s="11"/>
      <c r="M225" s="11"/>
    </row>
    <row r="226" spans="1:13" hidden="1" x14ac:dyDescent="0.25">
      <c r="A226" s="6" t="s">
        <v>486</v>
      </c>
      <c r="B226" s="7" t="s">
        <v>487</v>
      </c>
      <c r="C226" s="8">
        <v>45831</v>
      </c>
      <c r="D226" s="11" t="s">
        <v>650</v>
      </c>
      <c r="E226" s="9" t="str">
        <f t="shared" si="15"/>
        <v>🔴 Infraestrutura (Telebras)</v>
      </c>
      <c r="F226" s="10"/>
      <c r="G226" s="11"/>
      <c r="H226" s="11" t="str">
        <f t="shared" si="16"/>
        <v/>
      </c>
      <c r="I226" s="10"/>
      <c r="J226" s="11"/>
      <c r="K226" s="11" t="str">
        <f t="shared" si="14"/>
        <v/>
      </c>
      <c r="L226" s="11"/>
      <c r="M226" s="11"/>
    </row>
    <row r="227" spans="1:13" hidden="1" x14ac:dyDescent="0.25">
      <c r="A227" s="6" t="s">
        <v>488</v>
      </c>
      <c r="B227" s="7" t="s">
        <v>489</v>
      </c>
      <c r="C227" s="8">
        <v>45813</v>
      </c>
      <c r="D227" s="11" t="s">
        <v>15</v>
      </c>
      <c r="E227" s="9" t="str">
        <f t="shared" si="15"/>
        <v>✅ Concluído</v>
      </c>
      <c r="F227" s="10"/>
      <c r="G227" s="11"/>
      <c r="H227" s="11" t="str">
        <f t="shared" si="16"/>
        <v/>
      </c>
      <c r="I227" s="10"/>
      <c r="J227" s="11"/>
      <c r="K227" s="11" t="str">
        <f t="shared" si="14"/>
        <v/>
      </c>
      <c r="L227" s="11"/>
      <c r="M227" s="11"/>
    </row>
    <row r="228" spans="1:13" hidden="1" x14ac:dyDescent="0.25">
      <c r="A228" s="6" t="s">
        <v>490</v>
      </c>
      <c r="B228" s="7" t="s">
        <v>491</v>
      </c>
      <c r="C228" s="8">
        <v>45804</v>
      </c>
      <c r="D228" s="11" t="s">
        <v>15</v>
      </c>
      <c r="E228" s="9" t="str">
        <f t="shared" si="15"/>
        <v>✅ Concluído</v>
      </c>
      <c r="F228" s="10"/>
      <c r="G228" s="11"/>
      <c r="H228" s="11" t="str">
        <f t="shared" si="16"/>
        <v/>
      </c>
      <c r="I228" s="10"/>
      <c r="J228" s="11"/>
      <c r="K228" s="11" t="str">
        <f t="shared" si="14"/>
        <v/>
      </c>
      <c r="L228" s="11"/>
      <c r="M228" s="11"/>
    </row>
    <row r="229" spans="1:13" hidden="1" x14ac:dyDescent="0.25">
      <c r="A229" s="6" t="s">
        <v>492</v>
      </c>
      <c r="B229" s="7" t="s">
        <v>493</v>
      </c>
      <c r="C229" s="8">
        <v>45821</v>
      </c>
      <c r="D229" s="11" t="s">
        <v>15</v>
      </c>
      <c r="E229" s="9" t="str">
        <f t="shared" si="15"/>
        <v>✅ Concluído</v>
      </c>
      <c r="F229" s="10"/>
      <c r="G229" s="11"/>
      <c r="H229" s="11" t="str">
        <f t="shared" si="16"/>
        <v/>
      </c>
      <c r="I229" s="10"/>
      <c r="J229" s="11"/>
      <c r="K229" s="11" t="str">
        <f t="shared" si="14"/>
        <v/>
      </c>
      <c r="L229" s="11"/>
      <c r="M229" s="11"/>
    </row>
    <row r="230" spans="1:13" hidden="1" x14ac:dyDescent="0.25">
      <c r="A230" s="6" t="s">
        <v>494</v>
      </c>
      <c r="B230" s="7" t="s">
        <v>495</v>
      </c>
      <c r="C230" s="8">
        <v>45819</v>
      </c>
      <c r="D230" s="11" t="s">
        <v>15</v>
      </c>
      <c r="E230" s="9" t="str">
        <f t="shared" si="15"/>
        <v>✅ Concluído</v>
      </c>
      <c r="F230" s="10"/>
      <c r="G230" s="11"/>
      <c r="H230" s="11" t="str">
        <f t="shared" si="16"/>
        <v/>
      </c>
      <c r="I230" s="10"/>
      <c r="J230" s="11"/>
      <c r="K230" s="11" t="str">
        <f t="shared" si="14"/>
        <v/>
      </c>
      <c r="L230" s="11"/>
      <c r="M230" s="11"/>
    </row>
    <row r="231" spans="1:13" hidden="1" x14ac:dyDescent="0.25">
      <c r="A231" s="6" t="s">
        <v>496</v>
      </c>
      <c r="B231" s="7" t="s">
        <v>497</v>
      </c>
      <c r="C231" s="8">
        <v>45812</v>
      </c>
      <c r="D231" s="11" t="s">
        <v>15</v>
      </c>
      <c r="E231" s="9" t="str">
        <f t="shared" si="15"/>
        <v>✅ Concluído</v>
      </c>
      <c r="F231" s="10"/>
      <c r="G231" s="11"/>
      <c r="H231" s="11" t="str">
        <f t="shared" si="16"/>
        <v/>
      </c>
      <c r="I231" s="10"/>
      <c r="J231" s="11"/>
      <c r="K231" s="11" t="str">
        <f t="shared" si="14"/>
        <v/>
      </c>
      <c r="L231" s="11"/>
      <c r="M231" s="11"/>
    </row>
    <row r="232" spans="1:13" hidden="1" x14ac:dyDescent="0.25">
      <c r="A232" s="6" t="s">
        <v>498</v>
      </c>
      <c r="B232" s="7" t="s">
        <v>499</v>
      </c>
      <c r="C232" s="8">
        <v>45812</v>
      </c>
      <c r="D232" s="11" t="s">
        <v>15</v>
      </c>
      <c r="E232" s="9" t="str">
        <f t="shared" si="15"/>
        <v>✅ Concluído</v>
      </c>
      <c r="F232" s="10"/>
      <c r="G232" s="11"/>
      <c r="H232" s="11" t="str">
        <f t="shared" si="16"/>
        <v/>
      </c>
      <c r="I232" s="10"/>
      <c r="J232" s="11"/>
      <c r="K232" s="11" t="str">
        <f t="shared" si="14"/>
        <v/>
      </c>
      <c r="L232" s="11"/>
      <c r="M232" s="11"/>
    </row>
    <row r="233" spans="1:13" hidden="1" x14ac:dyDescent="0.25">
      <c r="A233" s="6" t="s">
        <v>500</v>
      </c>
      <c r="B233" s="7" t="s">
        <v>501</v>
      </c>
      <c r="C233" s="8">
        <v>45859</v>
      </c>
      <c r="D233" s="11" t="s">
        <v>739</v>
      </c>
      <c r="E233" s="9" t="str">
        <f t="shared" si="15"/>
        <v>🔴 Infraestrutura (Telebras)</v>
      </c>
      <c r="F233" s="10"/>
      <c r="G233" s="11"/>
      <c r="H233" s="11" t="str">
        <f t="shared" si="16"/>
        <v/>
      </c>
      <c r="I233" s="10"/>
      <c r="J233" s="11"/>
      <c r="K233" s="11" t="str">
        <f t="shared" si="14"/>
        <v/>
      </c>
      <c r="L233" s="11"/>
      <c r="M233" s="11"/>
    </row>
    <row r="234" spans="1:13" hidden="1" x14ac:dyDescent="0.25">
      <c r="A234" s="6" t="s">
        <v>502</v>
      </c>
      <c r="B234" s="7" t="s">
        <v>503</v>
      </c>
      <c r="C234" s="8">
        <v>45806</v>
      </c>
      <c r="D234" s="11" t="s">
        <v>15</v>
      </c>
      <c r="E234" s="9" t="str">
        <f t="shared" si="15"/>
        <v>✅ Concluído</v>
      </c>
      <c r="F234" s="10"/>
      <c r="G234" s="11"/>
      <c r="H234" s="11" t="str">
        <f t="shared" si="16"/>
        <v/>
      </c>
      <c r="I234" s="10"/>
      <c r="J234" s="11"/>
      <c r="K234" s="11" t="str">
        <f t="shared" si="14"/>
        <v/>
      </c>
      <c r="L234" s="11"/>
      <c r="M234" s="11"/>
    </row>
    <row r="235" spans="1:13" hidden="1" x14ac:dyDescent="0.25">
      <c r="A235" s="6" t="s">
        <v>504</v>
      </c>
      <c r="B235" s="7" t="s">
        <v>505</v>
      </c>
      <c r="C235" s="8">
        <v>45805</v>
      </c>
      <c r="D235" s="11" t="s">
        <v>14</v>
      </c>
      <c r="E235" s="9" t="str">
        <f t="shared" si="15"/>
        <v>🟠 Pendência Operacional (MVC)</v>
      </c>
      <c r="F235" s="10">
        <v>45924</v>
      </c>
      <c r="G235" s="11" t="s">
        <v>15</v>
      </c>
      <c r="H235" s="11" t="str">
        <f>IF(G235="","",IF(AND(OR(ISNUMBER(SEARCH("TELEBRAS",UPPER(G235))),ISNUMBER(SEARCH("TLB",UPPER(G235))),ISNUMBER(SEARCH("LINK",UPPER(G235))),ISNUMBER(SEARCH("ROTA",UPPER(G235))),ISNUMBER(SEARCH("ENERGIA",UPPER(G235)))),OR(ISNUMBER(SEARCH("MVC",UPPER(G235))),ISNUMBER(SEARCH("FOTOS",UPPER(G235))),ISNUMBER(SEARCH("DOC",UPPER(G235))),ISNUMBER(SEARCH("TERMO",UPPER(G235))),ISNUMBER(SEARCH("CORREÇÃO",UPPER(G235))),ISNUMBER(SEARCH("CORRECAO",UPPER(G235))))),"🔴🟠 Misto (Telebras + MVC)",
 IF(OR(ISNUMBER(SEARCH("TELEBRAS",UPPER(G235))),ISNUMBER(SEARCH("TLB",UPPER(G235))),ISNUMBER(SEARCH("LINK",UPPER(G235))),ISNUMBER(SEARCH("ROTA",UPPER(G235))),ISNUMBER(SEARCH("ENERGIA",UPPER(G235)))),"🔴 Infraestrutura (Telebras)",
 IF(OR(ISNUMBER(SEARCH("MVC",UPPER(G235))),ISNUMBER(SEARCH("FOTOS",UPPER(G235))),ISNUMBER(SEARCH("DOC",UPPER(G235))),ISNUMBER(SEARCH("TERMO",UPPER(G235))),ISNUMBER(SEARCH("CORREÇÃO",UPPER(G235))),ISNUMBER(SEARCH("CORRECAO",UPPER(G235)))),"🟠 Pendência Operacional (MVC)",
 IF(OR(ISNUMBER(SEARCH("FECHADO",UPPER(G235))),ISNUMBER(SEARCH("HORÁRIO",UPPER(G235))),ISNUMBER(SEARCH("TARDE",UPPER(G235))),ISNUMBER(SEARCH("CORREIOS",UPPER(G235))),ISNUMBER(SEARCH("MATERIAL",UPPER(G235))),ISNUMBER(SEARCH("REAGENDADA",UPPER(G235))),ISNUMBER(SEARCH("REAGENDADO",UPPER(G235))),ISNUMBER(SEARCH("ALLTECH",UPPER(G235))),ISNUMBER(SEARCH("MA",UPPER(G235))),ISNUMBER(SEARCH("SEFAZ",UPPER(G235)))),"🟡 Acesso / MA / Logística",
 IF(OR(ISNUMBER(SEARCH("FINALIZADO",UPPER(G235))),ISNUMBER(SEARCH("FINALIZADA",UPPER(G235))),ISNUMBER(SEARCH("MIGRADA",UPPER(G235)))),"✅ Concluído",
 "Outros / A Verificar"))))))</f>
        <v>✅ Concluído</v>
      </c>
      <c r="I235" s="10"/>
      <c r="J235" s="11"/>
      <c r="K235" s="11" t="str">
        <f t="shared" si="14"/>
        <v/>
      </c>
      <c r="L235" s="11"/>
      <c r="M235" s="11"/>
    </row>
    <row r="236" spans="1:13" hidden="1" x14ac:dyDescent="0.25">
      <c r="A236" s="6" t="s">
        <v>506</v>
      </c>
      <c r="B236" s="7" t="s">
        <v>507</v>
      </c>
      <c r="C236" s="8">
        <v>45845</v>
      </c>
      <c r="D236" s="11" t="s">
        <v>15</v>
      </c>
      <c r="E236" s="9" t="str">
        <f t="shared" si="15"/>
        <v>✅ Concluído</v>
      </c>
      <c r="F236" s="10"/>
      <c r="G236" s="11"/>
      <c r="H236" s="11" t="str">
        <f t="shared" si="16"/>
        <v/>
      </c>
      <c r="I236" s="10"/>
      <c r="J236" s="11"/>
      <c r="K236" s="11" t="str">
        <f t="shared" si="14"/>
        <v/>
      </c>
      <c r="L236" s="11"/>
      <c r="M236" s="11"/>
    </row>
    <row r="237" spans="1:13" hidden="1" x14ac:dyDescent="0.25">
      <c r="A237" s="6" t="s">
        <v>508</v>
      </c>
      <c r="B237" s="7" t="s">
        <v>509</v>
      </c>
      <c r="C237" s="8">
        <v>45817</v>
      </c>
      <c r="D237" s="11" t="s">
        <v>14</v>
      </c>
      <c r="E237" s="9" t="str">
        <f t="shared" si="15"/>
        <v>🟠 Pendência Operacional (MVC)</v>
      </c>
      <c r="F237" s="10">
        <v>45856</v>
      </c>
      <c r="G237" s="11" t="s">
        <v>15</v>
      </c>
      <c r="H237" s="11" t="str">
        <f>IF(G237="","",IF(AND(OR(ISNUMBER(SEARCH("TELEBRAS",UPPER(G237))),ISNUMBER(SEARCH("TLB",UPPER(G237))),ISNUMBER(SEARCH("LINK",UPPER(G237))),ISNUMBER(SEARCH("ROTA",UPPER(G237))),ISNUMBER(SEARCH("ENERGIA",UPPER(G237)))),OR(ISNUMBER(SEARCH("MVC",UPPER(G237))),ISNUMBER(SEARCH("FOTOS",UPPER(G237))),ISNUMBER(SEARCH("DOC",UPPER(G237))),ISNUMBER(SEARCH("TERMO",UPPER(G237))),ISNUMBER(SEARCH("CORREÇÃO",UPPER(G237))),ISNUMBER(SEARCH("CORRECAO",UPPER(G237))))),"🔴🟠 Misto (Telebras + MVC)",
 IF(OR(ISNUMBER(SEARCH("TELEBRAS",UPPER(G237))),ISNUMBER(SEARCH("TLB",UPPER(G237))),ISNUMBER(SEARCH("LINK",UPPER(G237))),ISNUMBER(SEARCH("ROTA",UPPER(G237))),ISNUMBER(SEARCH("ENERGIA",UPPER(G237)))),"🔴 Infraestrutura (Telebras)",
 IF(OR(ISNUMBER(SEARCH("MVC",UPPER(G237))),ISNUMBER(SEARCH("FOTOS",UPPER(G237))),ISNUMBER(SEARCH("DOC",UPPER(G237))),ISNUMBER(SEARCH("TERMO",UPPER(G237))),ISNUMBER(SEARCH("CORREÇÃO",UPPER(G237))),ISNUMBER(SEARCH("CORRECAO",UPPER(G237)))),"🟠 Pendência Operacional (MVC)",
 IF(OR(ISNUMBER(SEARCH("FECHADO",UPPER(G237))),ISNUMBER(SEARCH("HORÁRIO",UPPER(G237))),ISNUMBER(SEARCH("TARDE",UPPER(G237))),ISNUMBER(SEARCH("CORREIOS",UPPER(G237))),ISNUMBER(SEARCH("MATERIAL",UPPER(G237))),ISNUMBER(SEARCH("REAGENDADA",UPPER(G237))),ISNUMBER(SEARCH("REAGENDADO",UPPER(G237))),ISNUMBER(SEARCH("ALLTECH",UPPER(G237))),ISNUMBER(SEARCH("MA",UPPER(G237))),ISNUMBER(SEARCH("SEFAZ",UPPER(G237)))),"🟡 Acesso / MA / Logística",
 IF(OR(ISNUMBER(SEARCH("FINALIZADO",UPPER(G237))),ISNUMBER(SEARCH("FINALIZADA",UPPER(G237))),ISNUMBER(SEARCH("MIGRADA",UPPER(G237)))),"✅ Concluído",
 "Outros / A Verificar"))))))</f>
        <v>✅ Concluído</v>
      </c>
      <c r="I237" s="10"/>
      <c r="J237" s="11"/>
      <c r="K237" s="11" t="str">
        <f t="shared" si="14"/>
        <v/>
      </c>
      <c r="L237" s="11"/>
      <c r="M237" s="11"/>
    </row>
    <row r="238" spans="1:13" hidden="1" x14ac:dyDescent="0.25">
      <c r="A238" s="6" t="s">
        <v>510</v>
      </c>
      <c r="B238" s="7" t="s">
        <v>511</v>
      </c>
      <c r="C238" s="8">
        <v>45813</v>
      </c>
      <c r="D238" s="11" t="s">
        <v>15</v>
      </c>
      <c r="E238" s="9" t="str">
        <f t="shared" si="15"/>
        <v>✅ Concluído</v>
      </c>
      <c r="F238" s="10"/>
      <c r="G238" s="11"/>
      <c r="H238" s="11" t="str">
        <f t="shared" si="16"/>
        <v/>
      </c>
      <c r="I238" s="10"/>
      <c r="J238" s="11"/>
      <c r="K238" s="11" t="str">
        <f t="shared" si="14"/>
        <v/>
      </c>
      <c r="L238" s="11"/>
      <c r="M238" s="11"/>
    </row>
    <row r="239" spans="1:13" hidden="1" x14ac:dyDescent="0.25">
      <c r="A239" s="6" t="s">
        <v>512</v>
      </c>
      <c r="B239" s="7" t="s">
        <v>513</v>
      </c>
      <c r="C239" s="8">
        <v>45818</v>
      </c>
      <c r="D239" s="11" t="s">
        <v>14</v>
      </c>
      <c r="E239" s="9" t="str">
        <f t="shared" si="15"/>
        <v>🟠 Pendência Operacional (MVC)</v>
      </c>
      <c r="F239" s="10">
        <v>45917</v>
      </c>
      <c r="G239" s="11" t="s">
        <v>15</v>
      </c>
      <c r="H239" s="11" t="str">
        <f>IF(G239="","",IF(AND(OR(ISNUMBER(SEARCH("TELEBRAS",UPPER(G239))),ISNUMBER(SEARCH("TLB",UPPER(G239))),ISNUMBER(SEARCH("LINK",UPPER(G239))),ISNUMBER(SEARCH("ROTA",UPPER(G239))),ISNUMBER(SEARCH("ENERGIA",UPPER(G239)))),OR(ISNUMBER(SEARCH("MVC",UPPER(G239))),ISNUMBER(SEARCH("FOTOS",UPPER(G239))),ISNUMBER(SEARCH("DOC",UPPER(G239))),ISNUMBER(SEARCH("TERMO",UPPER(G239))),ISNUMBER(SEARCH("CORREÇÃO",UPPER(G239))),ISNUMBER(SEARCH("CORRECAO",UPPER(G239))))),"🔴🟠 Misto (Telebras + MVC)",
 IF(OR(ISNUMBER(SEARCH("TELEBRAS",UPPER(G239))),ISNUMBER(SEARCH("TLB",UPPER(G239))),ISNUMBER(SEARCH("LINK",UPPER(G239))),ISNUMBER(SEARCH("ROTA",UPPER(G239))),ISNUMBER(SEARCH("ENERGIA",UPPER(G239)))),"🔴 Infraestrutura (Telebras)",
 IF(OR(ISNUMBER(SEARCH("MVC",UPPER(G239))),ISNUMBER(SEARCH("FOTOS",UPPER(G239))),ISNUMBER(SEARCH("DOC",UPPER(G239))),ISNUMBER(SEARCH("TERMO",UPPER(G239))),ISNUMBER(SEARCH("CORREÇÃO",UPPER(G239))),ISNUMBER(SEARCH("CORRECAO",UPPER(G239)))),"🟠 Pendência Operacional (MVC)",
 IF(OR(ISNUMBER(SEARCH("FECHADO",UPPER(G239))),ISNUMBER(SEARCH("HORÁRIO",UPPER(G239))),ISNUMBER(SEARCH("TARDE",UPPER(G239))),ISNUMBER(SEARCH("CORREIOS",UPPER(G239))),ISNUMBER(SEARCH("MATERIAL",UPPER(G239))),ISNUMBER(SEARCH("REAGENDADA",UPPER(G239))),ISNUMBER(SEARCH("REAGENDADO",UPPER(G239))),ISNUMBER(SEARCH("ALLTECH",UPPER(G239))),ISNUMBER(SEARCH("MA",UPPER(G239))),ISNUMBER(SEARCH("SEFAZ",UPPER(G239)))),"🟡 Acesso / MA / Logística",
 IF(OR(ISNUMBER(SEARCH("FINALIZADO",UPPER(G239))),ISNUMBER(SEARCH("FINALIZADA",UPPER(G239))),ISNUMBER(SEARCH("MIGRADA",UPPER(G239)))),"✅ Concluído",
 "Outros / A Verificar"))))))</f>
        <v>✅ Concluído</v>
      </c>
      <c r="I239" s="10"/>
      <c r="J239" s="11"/>
      <c r="K239" s="11" t="str">
        <f t="shared" si="14"/>
        <v/>
      </c>
      <c r="L239" s="11"/>
      <c r="M239" s="11"/>
    </row>
    <row r="240" spans="1:13" ht="36" hidden="1" x14ac:dyDescent="0.25">
      <c r="A240" s="6" t="s">
        <v>514</v>
      </c>
      <c r="B240" s="7" t="s">
        <v>515</v>
      </c>
      <c r="C240" s="8">
        <v>45800</v>
      </c>
      <c r="D240" s="11" t="s">
        <v>880</v>
      </c>
      <c r="E240" s="9" t="str">
        <f t="shared" si="15"/>
        <v>🟠 Pendência Operacional (MVC)</v>
      </c>
      <c r="F240" s="10"/>
      <c r="G240" s="11"/>
      <c r="H240" s="11" t="str">
        <f t="shared" si="16"/>
        <v/>
      </c>
      <c r="I240" s="10"/>
      <c r="J240" s="11"/>
      <c r="K240" s="11" t="str">
        <f t="shared" si="14"/>
        <v/>
      </c>
      <c r="L240" s="11"/>
      <c r="M240" s="11"/>
    </row>
    <row r="241" spans="1:13" hidden="1" x14ac:dyDescent="0.25">
      <c r="A241" s="6" t="s">
        <v>516</v>
      </c>
      <c r="B241" s="7" t="s">
        <v>517</v>
      </c>
      <c r="C241" s="8">
        <v>45792</v>
      </c>
      <c r="D241" s="11" t="s">
        <v>14</v>
      </c>
      <c r="E241" s="9" t="str">
        <f t="shared" si="15"/>
        <v>🟠 Pendência Operacional (MVC)</v>
      </c>
      <c r="F241" s="10">
        <v>45861</v>
      </c>
      <c r="G241" s="11" t="s">
        <v>15</v>
      </c>
      <c r="H241" s="11" t="str">
        <f t="shared" ref="H241:H243" si="18">IF(G241="","",IF(AND(OR(ISNUMBER(SEARCH("TELEBRAS",UPPER(G241))),ISNUMBER(SEARCH("TLB",UPPER(G241))),ISNUMBER(SEARCH("LINK",UPPER(G241))),ISNUMBER(SEARCH("ROTA",UPPER(G241))),ISNUMBER(SEARCH("ENERGIA",UPPER(G241)))),OR(ISNUMBER(SEARCH("MVC",UPPER(G241))),ISNUMBER(SEARCH("FOTOS",UPPER(G241))),ISNUMBER(SEARCH("DOC",UPPER(G241))),ISNUMBER(SEARCH("TERMO",UPPER(G241))),ISNUMBER(SEARCH("CORREÇÃO",UPPER(G241))),ISNUMBER(SEARCH("CORRECAO",UPPER(G241))))),"🔴🟠 Misto (Telebras + MVC)",
 IF(OR(ISNUMBER(SEARCH("TELEBRAS",UPPER(G241))),ISNUMBER(SEARCH("TLB",UPPER(G241))),ISNUMBER(SEARCH("LINK",UPPER(G241))),ISNUMBER(SEARCH("ROTA",UPPER(G241))),ISNUMBER(SEARCH("ENERGIA",UPPER(G241)))),"🔴 Infraestrutura (Telebras)",
 IF(OR(ISNUMBER(SEARCH("MVC",UPPER(G241))),ISNUMBER(SEARCH("FOTOS",UPPER(G241))),ISNUMBER(SEARCH("DOC",UPPER(G241))),ISNUMBER(SEARCH("TERMO",UPPER(G241))),ISNUMBER(SEARCH("CORREÇÃO",UPPER(G241))),ISNUMBER(SEARCH("CORRECAO",UPPER(G241)))),"🟠 Pendência Operacional (MVC)",
 IF(OR(ISNUMBER(SEARCH("FECHADO",UPPER(G241))),ISNUMBER(SEARCH("HORÁRIO",UPPER(G241))),ISNUMBER(SEARCH("TARDE",UPPER(G241))),ISNUMBER(SEARCH("CORREIOS",UPPER(G241))),ISNUMBER(SEARCH("MATERIAL",UPPER(G241))),ISNUMBER(SEARCH("REAGENDADA",UPPER(G241))),ISNUMBER(SEARCH("REAGENDADO",UPPER(G241))),ISNUMBER(SEARCH("ALLTECH",UPPER(G241))),ISNUMBER(SEARCH("MA",UPPER(G241))),ISNUMBER(SEARCH("SEFAZ",UPPER(G241)))),"🟡 Acesso / MA / Logística",
 IF(OR(ISNUMBER(SEARCH("FINALIZADO",UPPER(G241))),ISNUMBER(SEARCH("FINALIZADA",UPPER(G241))),ISNUMBER(SEARCH("MIGRADA",UPPER(G241)))),"✅ Concluído",
 "Outros / A Verificar"))))))</f>
        <v>✅ Concluído</v>
      </c>
      <c r="I241" s="10"/>
      <c r="J241" s="11"/>
      <c r="K241" s="11" t="str">
        <f t="shared" si="14"/>
        <v/>
      </c>
      <c r="L241" s="11"/>
      <c r="M241" s="11"/>
    </row>
    <row r="242" spans="1:13" hidden="1" x14ac:dyDescent="0.25">
      <c r="A242" s="6" t="s">
        <v>518</v>
      </c>
      <c r="B242" s="7" t="s">
        <v>519</v>
      </c>
      <c r="C242" s="8">
        <v>45826</v>
      </c>
      <c r="D242" s="11" t="s">
        <v>650</v>
      </c>
      <c r="E242" s="9" t="str">
        <f t="shared" si="15"/>
        <v>🔴 Infraestrutura (Telebras)</v>
      </c>
      <c r="F242" s="10">
        <v>45888</v>
      </c>
      <c r="G242" s="11" t="s">
        <v>886</v>
      </c>
      <c r="H242" s="11" t="str">
        <f t="shared" si="18"/>
        <v>✅ Concluído</v>
      </c>
      <c r="I242" s="10"/>
      <c r="J242" s="11"/>
      <c r="K242" s="11" t="str">
        <f t="shared" si="14"/>
        <v/>
      </c>
      <c r="L242" s="11"/>
      <c r="M242" s="11"/>
    </row>
    <row r="243" spans="1:13" hidden="1" x14ac:dyDescent="0.25">
      <c r="A243" s="6" t="s">
        <v>520</v>
      </c>
      <c r="B243" s="7" t="s">
        <v>521</v>
      </c>
      <c r="C243" s="8">
        <v>45799</v>
      </c>
      <c r="D243" s="11" t="s">
        <v>14</v>
      </c>
      <c r="E243" s="9" t="str">
        <f t="shared" si="15"/>
        <v>🟠 Pendência Operacional (MVC)</v>
      </c>
      <c r="F243" s="10">
        <v>45931</v>
      </c>
      <c r="G243" s="11" t="s">
        <v>15</v>
      </c>
      <c r="H243" s="11" t="str">
        <f t="shared" si="18"/>
        <v>✅ Concluído</v>
      </c>
      <c r="I243" s="10"/>
      <c r="J243" s="11"/>
      <c r="K243" s="11" t="str">
        <f t="shared" si="14"/>
        <v/>
      </c>
      <c r="L243" s="11"/>
      <c r="M243" s="11"/>
    </row>
    <row r="244" spans="1:13" hidden="1" x14ac:dyDescent="0.25">
      <c r="A244" s="6" t="s">
        <v>522</v>
      </c>
      <c r="B244" s="7" t="s">
        <v>523</v>
      </c>
      <c r="C244" s="8">
        <v>45819</v>
      </c>
      <c r="D244" s="11" t="s">
        <v>15</v>
      </c>
      <c r="E244" s="9" t="str">
        <f t="shared" si="15"/>
        <v>✅ Concluído</v>
      </c>
      <c r="F244" s="10"/>
      <c r="G244" s="11"/>
      <c r="H244" s="11" t="str">
        <f t="shared" si="16"/>
        <v/>
      </c>
      <c r="I244" s="10"/>
      <c r="J244" s="11"/>
      <c r="K244" s="11" t="str">
        <f t="shared" si="14"/>
        <v/>
      </c>
      <c r="L244" s="11"/>
      <c r="M244" s="11"/>
    </row>
    <row r="245" spans="1:13" hidden="1" x14ac:dyDescent="0.25">
      <c r="A245" s="6" t="s">
        <v>524</v>
      </c>
      <c r="B245" s="7" t="s">
        <v>525</v>
      </c>
      <c r="C245" s="8">
        <v>45826</v>
      </c>
      <c r="D245" s="11" t="s">
        <v>15</v>
      </c>
      <c r="E245" s="9" t="str">
        <f t="shared" si="15"/>
        <v>✅ Concluído</v>
      </c>
      <c r="F245" s="10"/>
      <c r="G245" s="11"/>
      <c r="H245" s="11" t="str">
        <f t="shared" si="16"/>
        <v/>
      </c>
      <c r="I245" s="10"/>
      <c r="J245" s="11"/>
      <c r="K245" s="11" t="str">
        <f t="shared" si="14"/>
        <v/>
      </c>
      <c r="L245" s="11"/>
      <c r="M245" s="11"/>
    </row>
    <row r="246" spans="1:13" hidden="1" x14ac:dyDescent="0.25">
      <c r="A246" s="6" t="s">
        <v>526</v>
      </c>
      <c r="B246" s="7" t="s">
        <v>527</v>
      </c>
      <c r="C246" s="8">
        <v>45821</v>
      </c>
      <c r="D246" s="11" t="s">
        <v>15</v>
      </c>
      <c r="E246" s="9" t="str">
        <f t="shared" si="15"/>
        <v>✅ Concluído</v>
      </c>
      <c r="F246" s="10"/>
      <c r="G246" s="11"/>
      <c r="H246" s="11" t="str">
        <f t="shared" si="16"/>
        <v/>
      </c>
      <c r="I246" s="10"/>
      <c r="J246" s="11"/>
      <c r="K246" s="11" t="str">
        <f t="shared" si="14"/>
        <v/>
      </c>
      <c r="L246" s="11"/>
      <c r="M246" s="11"/>
    </row>
    <row r="247" spans="1:13" hidden="1" x14ac:dyDescent="0.25">
      <c r="A247" s="6" t="s">
        <v>528</v>
      </c>
      <c r="B247" s="7" t="s">
        <v>529</v>
      </c>
      <c r="C247" s="8">
        <v>45825</v>
      </c>
      <c r="D247" s="11" t="s">
        <v>650</v>
      </c>
      <c r="E247" s="9" t="str">
        <f t="shared" si="15"/>
        <v>🔴 Infraestrutura (Telebras)</v>
      </c>
      <c r="F247" s="10"/>
      <c r="G247" s="11"/>
      <c r="H247" s="11" t="str">
        <f t="shared" si="16"/>
        <v/>
      </c>
      <c r="I247" s="10"/>
      <c r="J247" s="11"/>
      <c r="K247" s="11" t="str">
        <f t="shared" si="14"/>
        <v/>
      </c>
      <c r="L247" s="11"/>
      <c r="M247" s="11"/>
    </row>
    <row r="248" spans="1:13" hidden="1" x14ac:dyDescent="0.25">
      <c r="A248" s="6" t="s">
        <v>530</v>
      </c>
      <c r="B248" s="7" t="s">
        <v>531</v>
      </c>
      <c r="C248" s="8">
        <v>45870</v>
      </c>
      <c r="D248" s="11" t="s">
        <v>650</v>
      </c>
      <c r="E248" s="9" t="str">
        <f t="shared" si="15"/>
        <v>🔴 Infraestrutura (Telebras)</v>
      </c>
      <c r="F248" s="10"/>
      <c r="G248" s="11"/>
      <c r="H248" s="11" t="str">
        <f t="shared" si="16"/>
        <v/>
      </c>
      <c r="I248" s="10"/>
      <c r="J248" s="11"/>
      <c r="K248" s="11" t="str">
        <f t="shared" si="14"/>
        <v/>
      </c>
      <c r="L248" s="11"/>
      <c r="M248" s="11"/>
    </row>
    <row r="249" spans="1:13" hidden="1" x14ac:dyDescent="0.25">
      <c r="A249" s="6" t="s">
        <v>532</v>
      </c>
      <c r="B249" s="7" t="s">
        <v>533</v>
      </c>
      <c r="C249" s="8">
        <v>45852</v>
      </c>
      <c r="D249" s="11" t="s">
        <v>650</v>
      </c>
      <c r="E249" s="9" t="str">
        <f t="shared" si="15"/>
        <v>🔴 Infraestrutura (Telebras)</v>
      </c>
      <c r="F249" s="10"/>
      <c r="G249" s="11"/>
      <c r="H249" s="11" t="str">
        <f t="shared" si="16"/>
        <v/>
      </c>
      <c r="I249" s="10"/>
      <c r="J249" s="11"/>
      <c r="K249" s="11" t="str">
        <f t="shared" si="14"/>
        <v/>
      </c>
      <c r="L249" s="11"/>
      <c r="M249" s="11"/>
    </row>
    <row r="250" spans="1:13" hidden="1" x14ac:dyDescent="0.25">
      <c r="A250" s="6" t="s">
        <v>534</v>
      </c>
      <c r="B250" s="7" t="s">
        <v>535</v>
      </c>
      <c r="C250" s="8">
        <v>45839</v>
      </c>
      <c r="D250" s="11" t="s">
        <v>15</v>
      </c>
      <c r="E250" s="9" t="str">
        <f t="shared" si="15"/>
        <v>✅ Concluído</v>
      </c>
      <c r="F250" s="10"/>
      <c r="G250" s="11"/>
      <c r="H250" s="11" t="str">
        <f t="shared" si="16"/>
        <v/>
      </c>
      <c r="I250" s="10"/>
      <c r="J250" s="11"/>
      <c r="K250" s="11" t="str">
        <f t="shared" si="14"/>
        <v/>
      </c>
      <c r="L250" s="11"/>
      <c r="M250" s="11"/>
    </row>
    <row r="251" spans="1:13" ht="24" hidden="1" x14ac:dyDescent="0.25">
      <c r="A251" s="6" t="s">
        <v>536</v>
      </c>
      <c r="B251" s="7" t="s">
        <v>537</v>
      </c>
      <c r="C251" s="8">
        <v>45840</v>
      </c>
      <c r="D251" s="11" t="s">
        <v>538</v>
      </c>
      <c r="E251" s="9" t="str">
        <f t="shared" si="15"/>
        <v>🔴 Infraestrutura (Telebras)</v>
      </c>
      <c r="F251" s="10">
        <v>45874</v>
      </c>
      <c r="G251" s="11" t="s">
        <v>841</v>
      </c>
      <c r="H251" s="11" t="str">
        <f>IF(G251="","",IF(AND(OR(ISNUMBER(SEARCH("TELEBRAS",UPPER(G251))),ISNUMBER(SEARCH("TLB",UPPER(G251))),ISNUMBER(SEARCH("LINK",UPPER(G251))),ISNUMBER(SEARCH("ROTA",UPPER(G251))),ISNUMBER(SEARCH("ENERGIA",UPPER(G251)))),OR(ISNUMBER(SEARCH("MVC",UPPER(G251))),ISNUMBER(SEARCH("FOTOS",UPPER(G251))),ISNUMBER(SEARCH("DOC",UPPER(G251))),ISNUMBER(SEARCH("TERMO",UPPER(G251))),ISNUMBER(SEARCH("CORREÇÃO",UPPER(G251))),ISNUMBER(SEARCH("CORRECAO",UPPER(G251))))),"🔴🟠 Misto (Telebras + MVC)",
 IF(OR(ISNUMBER(SEARCH("TELEBRAS",UPPER(G251))),ISNUMBER(SEARCH("TLB",UPPER(G251))),ISNUMBER(SEARCH("LINK",UPPER(G251))),ISNUMBER(SEARCH("ROTA",UPPER(G251))),ISNUMBER(SEARCH("ENERGIA",UPPER(G251)))),"🔴 Infraestrutura (Telebras)",
 IF(OR(ISNUMBER(SEARCH("MVC",UPPER(G251))),ISNUMBER(SEARCH("FOTOS",UPPER(G251))),ISNUMBER(SEARCH("DOC",UPPER(G251))),ISNUMBER(SEARCH("TERMO",UPPER(G251))),ISNUMBER(SEARCH("CORREÇÃO",UPPER(G251))),ISNUMBER(SEARCH("CORRECAO",UPPER(G251)))),"🟠 Pendência Operacional (MVC)",
 IF(OR(ISNUMBER(SEARCH("FECHADO",UPPER(G251))),ISNUMBER(SEARCH("HORÁRIO",UPPER(G251))),ISNUMBER(SEARCH("TARDE",UPPER(G251))),ISNUMBER(SEARCH("CORREIOS",UPPER(G251))),ISNUMBER(SEARCH("MATERIAL",UPPER(G251))),ISNUMBER(SEARCH("REAGENDADA",UPPER(G251))),ISNUMBER(SEARCH("REAGENDADO",UPPER(G251))),ISNUMBER(SEARCH("ALLTECH",UPPER(G251))),ISNUMBER(SEARCH("MA",UPPER(G251))),ISNUMBER(SEARCH("SEFAZ",UPPER(G251)))),"🟡 Acesso / MA / Logística",
 IF(OR(ISNUMBER(SEARCH("FINALIZADO",UPPER(G251))),ISNUMBER(SEARCH("FINALIZADA",UPPER(G251))),ISNUMBER(SEARCH("MIGRADA",UPPER(G251)))),"✅ Concluído",
 "Outros / A Verificar"))))))</f>
        <v>🔴 Infraestrutura (Telebras)</v>
      </c>
      <c r="I251" s="10">
        <v>45930</v>
      </c>
      <c r="J251" s="11" t="s">
        <v>168</v>
      </c>
      <c r="K251" s="11" t="str">
        <f t="shared" si="14"/>
        <v>🔴 Infraestrutura (Telebras)</v>
      </c>
      <c r="L251" s="11"/>
      <c r="M251" s="11"/>
    </row>
    <row r="252" spans="1:13" x14ac:dyDescent="0.25">
      <c r="A252" s="6" t="s">
        <v>539</v>
      </c>
      <c r="B252" s="7" t="s">
        <v>540</v>
      </c>
      <c r="C252" s="8">
        <v>45880</v>
      </c>
      <c r="D252" s="11" t="s">
        <v>881</v>
      </c>
      <c r="E252" s="9" t="str">
        <f t="shared" si="15"/>
        <v>🟠 Pendência Operacional (MVC)</v>
      </c>
      <c r="F252" s="10">
        <v>45989</v>
      </c>
      <c r="G252" s="11" t="s">
        <v>15</v>
      </c>
      <c r="H252" s="11" t="str">
        <f t="shared" si="16"/>
        <v>✅ Concluído</v>
      </c>
      <c r="I252" s="10"/>
      <c r="J252" s="11"/>
      <c r="K252" s="11" t="str">
        <f t="shared" si="14"/>
        <v/>
      </c>
      <c r="L252" s="11"/>
      <c r="M252" s="11"/>
    </row>
    <row r="253" spans="1:13" hidden="1" x14ac:dyDescent="0.25">
      <c r="A253" s="6" t="s">
        <v>541</v>
      </c>
      <c r="B253" s="7" t="s">
        <v>542</v>
      </c>
      <c r="C253" s="8">
        <v>45832</v>
      </c>
      <c r="D253" s="11" t="s">
        <v>882</v>
      </c>
      <c r="E253" s="9" t="str">
        <f t="shared" si="15"/>
        <v>🔴🟠 Misto (Telebras + MVC)</v>
      </c>
      <c r="F253" s="10">
        <v>45873</v>
      </c>
      <c r="G253" s="11" t="s">
        <v>892</v>
      </c>
      <c r="H253" s="11" t="str">
        <f>IF(G253="","",IF(AND(OR(ISNUMBER(SEARCH("TELEBRAS",UPPER(G253))),ISNUMBER(SEARCH("TLB",UPPER(G253))),ISNUMBER(SEARCH("LINK",UPPER(G253))),ISNUMBER(SEARCH("ROTA",UPPER(G253))),ISNUMBER(SEARCH("ENERGIA",UPPER(G253)))),OR(ISNUMBER(SEARCH("MVC",UPPER(G253))),ISNUMBER(SEARCH("FOTOS",UPPER(G253))),ISNUMBER(SEARCH("DOC",UPPER(G253))),ISNUMBER(SEARCH("TERMO",UPPER(G253))),ISNUMBER(SEARCH("CORREÇÃO",UPPER(G253))),ISNUMBER(SEARCH("CORRECAO",UPPER(G253))))),"🔴🟠 Misto (Telebras + MVC)",
 IF(OR(ISNUMBER(SEARCH("TELEBRAS",UPPER(G253))),ISNUMBER(SEARCH("TLB",UPPER(G253))),ISNUMBER(SEARCH("LINK",UPPER(G253))),ISNUMBER(SEARCH("ROTA",UPPER(G253))),ISNUMBER(SEARCH("ENERGIA",UPPER(G253)))),"🔴 Infraestrutura (Telebras)",
 IF(OR(ISNUMBER(SEARCH("MVC",UPPER(G253))),ISNUMBER(SEARCH("FOTOS",UPPER(G253))),ISNUMBER(SEARCH("DOC",UPPER(G253))),ISNUMBER(SEARCH("TERMO",UPPER(G253))),ISNUMBER(SEARCH("CORREÇÃO",UPPER(G253))),ISNUMBER(SEARCH("CORRECAO",UPPER(G253)))),"🟠 Pendência Operacional (MVC)",
 IF(OR(ISNUMBER(SEARCH("FECHADO",UPPER(G253))),ISNUMBER(SEARCH("HORÁRIO",UPPER(G253))),ISNUMBER(SEARCH("TARDE",UPPER(G253))),ISNUMBER(SEARCH("CORREIOS",UPPER(G253))),ISNUMBER(SEARCH("MATERIAL",UPPER(G253))),ISNUMBER(SEARCH("REAGENDADA",UPPER(G253))),ISNUMBER(SEARCH("REAGENDADO",UPPER(G253))),ISNUMBER(SEARCH("ALLTECH",UPPER(G253))),ISNUMBER(SEARCH("MA",UPPER(G253))),ISNUMBER(SEARCH("SEFAZ",UPPER(G253)))),"🟡 Acesso / MA / Logística",
 IF(OR(ISNUMBER(SEARCH("FINALIZADO",UPPER(G253))),ISNUMBER(SEARCH("FINALIZADA",UPPER(G253))),ISNUMBER(SEARCH("MIGRADA",UPPER(G253)))),"✅ Concluído",
 "Outros / A Verificar"))))))</f>
        <v>🔴 Infraestrutura (Telebras)</v>
      </c>
      <c r="I253" s="10"/>
      <c r="J253" s="11"/>
      <c r="K253" s="11" t="str">
        <f t="shared" si="14"/>
        <v/>
      </c>
      <c r="L253" s="11"/>
      <c r="M253" s="11"/>
    </row>
    <row r="254" spans="1:13" hidden="1" x14ac:dyDescent="0.25">
      <c r="A254" s="6" t="s">
        <v>543</v>
      </c>
      <c r="B254" s="7" t="s">
        <v>544</v>
      </c>
      <c r="C254" s="8">
        <v>45901</v>
      </c>
      <c r="D254" s="11" t="s">
        <v>650</v>
      </c>
      <c r="E254" s="9" t="str">
        <f t="shared" si="15"/>
        <v>🔴 Infraestrutura (Telebras)</v>
      </c>
      <c r="F254" s="10">
        <v>45989</v>
      </c>
      <c r="G254" s="11" t="s">
        <v>15</v>
      </c>
      <c r="H254" s="11" t="str">
        <f t="shared" si="16"/>
        <v>✅ Concluído</v>
      </c>
      <c r="I254" s="10"/>
      <c r="J254" s="11"/>
      <c r="K254" s="11" t="str">
        <f t="shared" si="14"/>
        <v/>
      </c>
      <c r="L254" s="11"/>
      <c r="M254" s="11"/>
    </row>
    <row r="255" spans="1:13" hidden="1" x14ac:dyDescent="0.25">
      <c r="A255" s="6" t="s">
        <v>545</v>
      </c>
      <c r="B255" s="7" t="s">
        <v>546</v>
      </c>
      <c r="C255" s="8">
        <v>45848</v>
      </c>
      <c r="D255" s="11" t="s">
        <v>15</v>
      </c>
      <c r="E255" s="9" t="str">
        <f t="shared" si="15"/>
        <v>✅ Concluído</v>
      </c>
      <c r="F255" s="10"/>
      <c r="G255" s="11"/>
      <c r="H255" s="11" t="str">
        <f t="shared" si="16"/>
        <v/>
      </c>
      <c r="I255" s="10"/>
      <c r="J255" s="11"/>
      <c r="K255" s="11" t="str">
        <f t="shared" si="14"/>
        <v/>
      </c>
      <c r="L255" s="11"/>
      <c r="M255" s="11"/>
    </row>
    <row r="256" spans="1:13" hidden="1" x14ac:dyDescent="0.25">
      <c r="A256" s="6" t="s">
        <v>547</v>
      </c>
      <c r="B256" s="7" t="s">
        <v>548</v>
      </c>
      <c r="C256" s="8">
        <v>45838</v>
      </c>
      <c r="D256" s="11" t="s">
        <v>650</v>
      </c>
      <c r="E256" s="9" t="str">
        <f t="shared" si="15"/>
        <v>🔴 Infraestrutura (Telebras)</v>
      </c>
      <c r="F256" s="10"/>
      <c r="G256" s="11"/>
      <c r="H256" s="11" t="str">
        <f t="shared" si="16"/>
        <v/>
      </c>
      <c r="I256" s="10"/>
      <c r="J256" s="11"/>
      <c r="K256" s="11" t="str">
        <f t="shared" si="14"/>
        <v/>
      </c>
      <c r="L256" s="11"/>
      <c r="M256" s="11"/>
    </row>
    <row r="257" spans="1:13" hidden="1" x14ac:dyDescent="0.25">
      <c r="A257" s="6" t="s">
        <v>549</v>
      </c>
      <c r="B257" s="7" t="s">
        <v>550</v>
      </c>
      <c r="C257" s="8">
        <v>45820</v>
      </c>
      <c r="D257" s="11" t="s">
        <v>15</v>
      </c>
      <c r="E257" s="9" t="str">
        <f t="shared" si="15"/>
        <v>✅ Concluído</v>
      </c>
      <c r="F257" s="10"/>
      <c r="G257" s="11"/>
      <c r="H257" s="11" t="str">
        <f t="shared" si="16"/>
        <v/>
      </c>
      <c r="I257" s="10"/>
      <c r="J257" s="11"/>
      <c r="K257" s="11" t="str">
        <f t="shared" si="14"/>
        <v/>
      </c>
      <c r="L257" s="11"/>
      <c r="M257" s="11"/>
    </row>
    <row r="258" spans="1:13" hidden="1" x14ac:dyDescent="0.25">
      <c r="A258" s="6" t="s">
        <v>551</v>
      </c>
      <c r="B258" s="7" t="s">
        <v>552</v>
      </c>
      <c r="C258" s="8">
        <v>45849</v>
      </c>
      <c r="D258" s="11" t="s">
        <v>15</v>
      </c>
      <c r="E258" s="9" t="str">
        <f t="shared" si="15"/>
        <v>✅ Concluído</v>
      </c>
      <c r="F258" s="10"/>
      <c r="G258" s="11"/>
      <c r="H258" s="11" t="str">
        <f t="shared" ref="H258:H321" si="19">IF(G258="","",IF(AND(OR(ISNUMBER(SEARCH("TELEBRAS",UPPER(G258))),ISNUMBER(SEARCH("TLB",UPPER(G258))),ISNUMBER(SEARCH("LINK",UPPER(G258))),ISNUMBER(SEARCH("ROTA",UPPER(G258))),ISNUMBER(SEARCH("ENERGIA",UPPER(G258)))),OR(ISNUMBER(SEARCH("MVC",UPPER(G258))),ISNUMBER(SEARCH("FOTOS",UPPER(G258))),ISNUMBER(SEARCH("DOC",UPPER(G258))),ISNUMBER(SEARCH("TERMO",UPPER(G258))),ISNUMBER(SEARCH("CORREÇÃO",UPPER(G258))),ISNUMBER(SEARCH("CORRECAO",UPPER(G258))))),"🔴🟠 Misto (Telebras + MVC)",
 IF(OR(ISNUMBER(SEARCH("TELEBRAS",UPPER(G258))),ISNUMBER(SEARCH("TLB",UPPER(G258))),ISNUMBER(SEARCH("LINK",UPPER(G258))),ISNUMBER(SEARCH("ROTA",UPPER(G258))),ISNUMBER(SEARCH("ENERGIA",UPPER(G258)))),"🔴 Infraestrutura (Telebras)",
 IF(OR(ISNUMBER(SEARCH("MVC",UPPER(G258))),ISNUMBER(SEARCH("FOTOS",UPPER(G258))),ISNUMBER(SEARCH("DOC",UPPER(G258))),ISNUMBER(SEARCH("TERMO",UPPER(G258))),ISNUMBER(SEARCH("CORREÇÃO",UPPER(G258))),ISNUMBER(SEARCH("CORRECAO",UPPER(G258)))),"🟠 Pendência Operacional (MVC)",
 IF(OR(ISNUMBER(SEARCH("FECHADO",UPPER(G258))),ISNUMBER(SEARCH("HORÁRIO",UPPER(G258))),ISNUMBER(SEARCH("TARDE",UPPER(G258))),ISNUMBER(SEARCH("CORREIOS",UPPER(G258))),ISNUMBER(SEARCH("MATERIAL",UPPER(G258))),ISNUMBER(SEARCH("REAGENDADA",UPPER(G258))),ISNUMBER(SEARCH("REAGENDADO",UPPER(G258))),ISNUMBER(SEARCH("ALLTECH",UPPER(G258))),ISNUMBER(SEARCH("MA",UPPER(G258))),ISNUMBER(SEARCH("SEFAZ",UPPER(G258)))),"🟡 Acesso / Logística",
 IF(OR(ISNUMBER(SEARCH("FINALIZADO",UPPER(G258))),ISNUMBER(SEARCH("FINALIZADA",UPPER(G258))),ISNUMBER(SEARCH("MIGRADA",UPPER(G258)))),"✅ Concluído",
 "Outros / A Verificar"))))))</f>
        <v/>
      </c>
      <c r="I258" s="10"/>
      <c r="J258" s="11"/>
      <c r="K258" s="11" t="str">
        <f t="shared" ref="K258:K321" si="20">IF(J258="","",IF(OR(ISNUMBER(SEARCH("TELEBRAS",UPPER(J258))), ISNUMBER(SEARCH("TLB",UPPER(J258))), ISNUMBER(SEARCH("LINK",UPPER(J258))), ISNUMBER(SEARCH("ROTA",UPPER(J258))), ISNUMBER(SEARCH("ENERGIA",UPPER(J258)))), "🔴 Infraestrutura (Telebras)",
 IF(OR(ISNUMBER(SEARCH("MVC",UPPER(J258))), ISNUMBER(SEARCH("FOTOS",UPPER(J258))), ISNUMBER(SEARCH("DOC",UPPER(J258))), ISNUMBER(SEARCH("TERMO",UPPER(J258))), ISNUMBER(SEARCH("CORREÇÃO",UPPER(J258))), ISNUMBER(SEARCH("CORRECAO",UPPER(J258)))), "🟠 Pendência Operacional (MVC)",
  IF(OR(ISNUMBER(SEARCH("FECHADO",UPPER(J258))), ISNUMBER(SEARCH("HORÁRIO",UPPER(J258))), ISNUMBER(SEARCH("TARDE",UPPER(J258))), ISNUMBER(SEARCH("CORREIOS",UPPER(J258))), ISNUMBER(SEARCH("MATERIAL",UPPER(J258)))), "🟡 Acesso / Logística",
   IF(OR(ISNUMBER(SEARCH("FINALIZADO",UPPER(J258))), ISNUMBER(SEARCH("MIGRADA",UPPER(J258)))), "✅ Concluído",
    "Outros / A Verificar")))))</f>
        <v/>
      </c>
      <c r="L258" s="11"/>
      <c r="M258" s="11"/>
    </row>
    <row r="259" spans="1:13" hidden="1" x14ac:dyDescent="0.25">
      <c r="A259" s="6" t="s">
        <v>553</v>
      </c>
      <c r="B259" s="7" t="s">
        <v>554</v>
      </c>
      <c r="C259" s="8">
        <v>45923</v>
      </c>
      <c r="D259" s="11" t="s">
        <v>555</v>
      </c>
      <c r="E259" s="9" t="str">
        <f t="shared" ref="E259:E262" si="21">IF(D259="","",IF(ISNUMBER(SEARCH("CANCELADO",UPPER(D259))),"CANCELADO",IF(AND(OR(ISNUMBER(SEARCH("TELEBRAS",UPPER(D259))),ISNUMBER(SEARCH("TLB",UPPER(D259))),ISNUMBER(SEARCH("LINK",UPPER(D259))),ISNUMBER(SEARCH("ROTA",UPPER(D259))),ISNUMBER(SEARCH("ENERGIA",UPPER(D259)))),OR(ISNUMBER(SEARCH("MVC",UPPER(D259))),ISNUMBER(SEARCH("FOTOS",UPPER(D259))),ISNUMBER(SEARCH("DOC",UPPER(D259))),ISNUMBER(SEARCH("TERMO",UPPER(D259))),ISNUMBER(SEARCH("CORREÇÃO",UPPER(D259))),ISNUMBER(SEARCH("CORRECAO",UPPER(D259))))),"🔴🟠 Misto (Telebras + MVC)",
IF(OR(ISNUMBER(SEARCH("TELEBRAS",UPPER(D259))),ISNUMBER(SEARCH("TLB",UPPER(D259))),ISNUMBER(SEARCH("LINK",UPPER(D259))),ISNUMBER(SEARCH("ROTA",UPPER(D259))),ISNUMBER(SEARCH("ENERGIA",UPPER(D259)))),"🔴 Infraestrutura (Telebras)",
IF(OR(ISNUMBER(SEARCH("MVC",UPPER(D259))),ISNUMBER(SEARCH("FOTOS",UPPER(D259))),ISNUMBER(SEARCH("DOC",UPPER(D259))),ISNUMBER(SEARCH("TERMO",UPPER(D259))),ISNUMBER(SEARCH("CORREÇÃO",UPPER(D259))),ISNUMBER(SEARCH("CORRECAO",UPPER(D259)))),"🟠 Pendência Operacional (MVC)",
IF(OR(ISNUMBER(SEARCH("FECHADO",UPPER(D259))),ISNUMBER(SEARCH("HORÁRIO",UPPER(D259))),ISNUMBER(SEARCH("TARDE",UPPER(D259))),ISNUMBER(SEARCH("CORREIOS",UPPER(D259))),ISNUMBER(SEARCH("MATERIAL",UPPER(D259))),ISNUMBER(SEARCH("REAGENDADA",UPPER(D259))),ISNUMBER(SEARCH("REAGENDADO",UPPER(D259))),ISNUMBER(SEARCH("ALLTECH",UPPER(D259))),ISNUMBER(SEARCH("MA",UPPER(D259))),ISNUMBER(SEARCH("SEFAZ",UPPER(D259)))),"🟡 Acesso / MA / Logística",
IF(OR(ISNUMBER(SEARCH("FINALIZADO",UPPER(D259))),ISNUMBER(SEARCH("FINALIZADA",UPPER(D259))),ISNUMBER(SEARCH("MIGRADA",UPPER(D259)))),"✅ Concluído",
"A Verificar")))))))</f>
        <v>🔴 Infraestrutura (Telebras)</v>
      </c>
      <c r="F259" s="10"/>
      <c r="G259" s="11"/>
      <c r="H259" s="11" t="str">
        <f t="shared" si="19"/>
        <v/>
      </c>
      <c r="I259" s="10"/>
      <c r="J259" s="11"/>
      <c r="K259" s="11" t="str">
        <f t="shared" si="20"/>
        <v/>
      </c>
      <c r="L259" s="11"/>
      <c r="M259" s="11"/>
    </row>
    <row r="260" spans="1:13" hidden="1" x14ac:dyDescent="0.25">
      <c r="A260" s="6" t="s">
        <v>556</v>
      </c>
      <c r="B260" s="7" t="s">
        <v>557</v>
      </c>
      <c r="C260" s="8">
        <v>45887</v>
      </c>
      <c r="D260" s="9" t="s">
        <v>863</v>
      </c>
      <c r="E260" s="9" t="str">
        <f t="shared" si="21"/>
        <v>CANCELADO</v>
      </c>
      <c r="F260" s="10"/>
      <c r="G260" s="11"/>
      <c r="H260" s="11" t="str">
        <f t="shared" si="19"/>
        <v/>
      </c>
      <c r="I260" s="10"/>
      <c r="J260" s="11"/>
      <c r="K260" s="11" t="str">
        <f t="shared" si="20"/>
        <v/>
      </c>
      <c r="L260" s="11"/>
      <c r="M260" s="11"/>
    </row>
    <row r="261" spans="1:13" hidden="1" x14ac:dyDescent="0.25">
      <c r="A261" s="6" t="s">
        <v>558</v>
      </c>
      <c r="B261" s="7" t="s">
        <v>559</v>
      </c>
      <c r="C261" s="8">
        <v>45818</v>
      </c>
      <c r="D261" s="11" t="s">
        <v>15</v>
      </c>
      <c r="E261" s="9" t="str">
        <f t="shared" si="21"/>
        <v>✅ Concluído</v>
      </c>
      <c r="F261" s="10"/>
      <c r="G261" s="11"/>
      <c r="H261" s="11" t="str">
        <f t="shared" si="19"/>
        <v/>
      </c>
      <c r="I261" s="10"/>
      <c r="J261" s="11"/>
      <c r="K261" s="11" t="str">
        <f t="shared" si="20"/>
        <v/>
      </c>
      <c r="L261" s="11"/>
      <c r="M261" s="11"/>
    </row>
    <row r="262" spans="1:13" hidden="1" x14ac:dyDescent="0.25">
      <c r="A262" s="6" t="s">
        <v>560</v>
      </c>
      <c r="B262" s="7" t="s">
        <v>561</v>
      </c>
      <c r="C262" s="8">
        <v>45803</v>
      </c>
      <c r="D262" s="11" t="s">
        <v>15</v>
      </c>
      <c r="E262" s="9" t="str">
        <f t="shared" si="21"/>
        <v>✅ Concluído</v>
      </c>
      <c r="F262" s="10"/>
      <c r="G262" s="11"/>
      <c r="H262" s="11" t="str">
        <f t="shared" si="19"/>
        <v/>
      </c>
      <c r="I262" s="10"/>
      <c r="J262" s="11"/>
      <c r="K262" s="11" t="str">
        <f t="shared" si="20"/>
        <v/>
      </c>
      <c r="L262" s="11"/>
      <c r="M262" s="11"/>
    </row>
    <row r="263" spans="1:13" hidden="1" x14ac:dyDescent="0.25">
      <c r="A263" s="6" t="s">
        <v>562</v>
      </c>
      <c r="B263" s="7" t="s">
        <v>563</v>
      </c>
      <c r="C263" s="8"/>
      <c r="D263" s="9"/>
      <c r="E263" s="9" t="str">
        <f>IF(D263="","",IF(ISNUMBER(SEARCH("CANCELADO",UPPER(D263))),"CANCELADO",IF(AND(OR(ISNUMBER(SEARCH("TELEBRAS",UPPER(D263))),ISNUMBER(SEARCH("TLB",UPPER(D263))),ISNUMBER(SEARCH("LINK",UPPER(D263))),ISNUMBER(SEARCH("ROTA",UPPER(D263))),ISNUMBER(SEARCH("ENERGIA",UPPER(D263)))),OR(ISNUMBER(SEARCH("MVC",UPPER(D263))),ISNUMBER(SEARCH("FOTOS",UPPER(D263))),ISNUMBER(SEARCH("DOC",UPPER(D263))),ISNUMBER(SEARCH("TERMO",UPPER(D263))),ISNUMBER(SEARCH("CORREÇÃO",UPPER(D263))),ISNUMBER(SEARCH("CORRECAO",UPPER(D263))))),"🔴🟠 Misto (Telebras + MVC)",
IF(OR(ISNUMBER(SEARCH("TELEBRAS",UPPER(D263))),ISNUMBER(SEARCH("TLB",UPPER(D263))),ISNUMBER(SEARCH("LINK",UPPER(D263))),ISNUMBER(SEARCH("ROTA",UPPER(D263))),ISNUMBER(SEARCH("ENERGIA",UPPER(D263)))),"🔴 Infraestrutura (Telebras)",
IF(OR(ISNUMBER(SEARCH("MVC",UPPER(D263))),ISNUMBER(SEARCH("FOTOS",UPPER(D263))),ISNUMBER(SEARCH("DOC",UPPER(D263))),ISNUMBER(SEARCH("TERMO",UPPER(D263))),ISNUMBER(SEARCH("CORREÇÃO",UPPER(D263))),ISNUMBER(SEARCH("CORRECAO",UPPER(D263)))),"🟠 Pendência Operacional (MVC)",
IF(OR(ISNUMBER(SEARCH("FECHADO",UPPER(D263))),ISNUMBER(SEARCH("HORÁRIO",UPPER(D263))),ISNUMBER(SEARCH("TARDE",UPPER(D263))),ISNUMBER(SEARCH("CORREIOS",UPPER(D263))),ISNUMBER(SEARCH("MATERIAL",UPPER(D263))),ISNUMBER(SEARCH("REAGENDADA",UPPER(D263))),ISNUMBER(SEARCH("REAGENDADO",UPPER(D263))),ISNUMBER(SEARCH("ALLTECH",UPPER(D263))),ISNUMBER(SEARCH("MA",UPPER(D263))),ISNUMBER(SEARCH("SEFAZ",UPPER(D263)))),"🟡 Acesso / MA / Logística",
IF(OR(ISNUMBER(SEARCH("FINALIZADO",UPPER(D263))),ISNUMBER(SEARCH("FINALIZADA",UPPER(D263))),ISNUMBER(SEARCH("MIGRADA",UPPER(D263)))),"✅ Concluído",
"A Verificar")))))))</f>
        <v/>
      </c>
      <c r="F263" s="10"/>
      <c r="G263" s="11"/>
      <c r="H263" s="11" t="str">
        <f t="shared" si="19"/>
        <v/>
      </c>
      <c r="I263" s="10"/>
      <c r="J263" s="11"/>
      <c r="K263" s="11" t="str">
        <f t="shared" si="20"/>
        <v/>
      </c>
      <c r="L263" s="11"/>
      <c r="M263" s="11"/>
    </row>
    <row r="264" spans="1:13" ht="24" hidden="1" x14ac:dyDescent="0.25">
      <c r="A264" s="6" t="s">
        <v>564</v>
      </c>
      <c r="B264" s="7" t="s">
        <v>565</v>
      </c>
      <c r="C264" s="8">
        <v>45855</v>
      </c>
      <c r="D264" s="11" t="s">
        <v>872</v>
      </c>
      <c r="E264" s="9" t="str">
        <f>IF(D264="","",IF(ISNUMBER(SEARCH("CANCELADO",UPPER(D264))),"CANCELADO",IF(AND(OR(ISNUMBER(SEARCH("TELEBRAS",UPPER(D264))),ISNUMBER(SEARCH("TLB",UPPER(D264))),ISNUMBER(SEARCH("LINK",UPPER(D264))),ISNUMBER(SEARCH("ROTA",UPPER(D264))),ISNUMBER(SEARCH("ENERGIA",UPPER(D264)))),OR(ISNUMBER(SEARCH("MVC",UPPER(D264))),ISNUMBER(SEARCH("FOTOS",UPPER(D264))),ISNUMBER(SEARCH("DOC",UPPER(D264))),ISNUMBER(SEARCH("TERMO",UPPER(D264))),ISNUMBER(SEARCH("CORREÇÃO",UPPER(D264))),ISNUMBER(SEARCH("CORRECAO",UPPER(D264))))),"🔴🟠 Misto (Telebras + MVC)",
IF(OR(ISNUMBER(SEARCH("TELEBRAS",UPPER(D264))),ISNUMBER(SEARCH("TLB",UPPER(D264))),ISNUMBER(SEARCH("LINK",UPPER(D264))),ISNUMBER(SEARCH("ROTA",UPPER(D264))),ISNUMBER(SEARCH("ENERGIA",UPPER(D264)))),"🔴 Infraestrutura (Telebras)",
IF(OR(ISNUMBER(SEARCH("MVC",UPPER(D264))),ISNUMBER(SEARCH("FOTOS",UPPER(D264))),ISNUMBER(SEARCH("DOC",UPPER(D264))),ISNUMBER(SEARCH("TERMO",UPPER(D264))),ISNUMBER(SEARCH("CORREÇÃO",UPPER(D264))),ISNUMBER(SEARCH("CORRECAO",UPPER(D264)))),"🟠 Pendência Operacional (MVC)",
IF(OR(ISNUMBER(SEARCH("FECHADO",UPPER(D264))),ISNUMBER(SEARCH("HORÁRIO",UPPER(D264))),ISNUMBER(SEARCH("TARDE",UPPER(D264))),ISNUMBER(SEARCH("CORREIOS",UPPER(D264))),ISNUMBER(SEARCH("MATERIAL",UPPER(D264))),ISNUMBER(SEARCH("REAGENDADA",UPPER(D264))),ISNUMBER(SEARCH("REAGENDADO",UPPER(D264))),ISNUMBER(SEARCH("ALLTECH",UPPER(D264))),ISNUMBER(SEARCH("MA",UPPER(D264))),ISNUMBER(SEARCH("SEFAZ",UPPER(D264)))),"🟡 Acesso / MA / Logística",
IF(OR(ISNUMBER(SEARCH("FINALIZADO",UPPER(D264))),ISNUMBER(SEARCH("FINALIZADA",UPPER(D264))),ISNUMBER(SEARCH("MIGRADA",UPPER(D264)))),"✅ Concluído",
"A Verificar")))))))</f>
        <v>🔴🟠 Misto (Telebras + MVC)</v>
      </c>
      <c r="F264" s="10"/>
      <c r="G264" s="11"/>
      <c r="H264" s="11" t="str">
        <f t="shared" si="19"/>
        <v/>
      </c>
      <c r="I264" s="10"/>
      <c r="J264" s="11"/>
      <c r="K264" s="11" t="str">
        <f t="shared" si="20"/>
        <v/>
      </c>
      <c r="L264" s="11"/>
      <c r="M264" s="11"/>
    </row>
    <row r="265" spans="1:13" hidden="1" x14ac:dyDescent="0.25">
      <c r="A265" s="6" t="s">
        <v>566</v>
      </c>
      <c r="B265" s="7" t="s">
        <v>567</v>
      </c>
      <c r="C265" s="8">
        <v>45820</v>
      </c>
      <c r="D265" s="11" t="s">
        <v>15</v>
      </c>
      <c r="E265" s="9" t="str">
        <f t="shared" ref="E265:E328" si="22">IF(D265="","",IF(ISNUMBER(SEARCH("CANCELADO",UPPER(D265))),"CANCELADO",IF(AND(OR(ISNUMBER(SEARCH("TELEBRAS",UPPER(D265))),ISNUMBER(SEARCH("TLB",UPPER(D265))),ISNUMBER(SEARCH("LINK",UPPER(D265))),ISNUMBER(SEARCH("ROTA",UPPER(D265))),ISNUMBER(SEARCH("ENERGIA",UPPER(D265)))),OR(ISNUMBER(SEARCH("MVC",UPPER(D265))),ISNUMBER(SEARCH("FOTOS",UPPER(D265))),ISNUMBER(SEARCH("DOC",UPPER(D265))),ISNUMBER(SEARCH("TERMO",UPPER(D265))),ISNUMBER(SEARCH("CORREÇÃO",UPPER(D265))),ISNUMBER(SEARCH("CORRECAO",UPPER(D265))))),"🔴🟠 Misto (Telebras + MVC)",
IF(OR(ISNUMBER(SEARCH("TELEBRAS",UPPER(D265))),ISNUMBER(SEARCH("TLB",UPPER(D265))),ISNUMBER(SEARCH("LINK",UPPER(D265))),ISNUMBER(SEARCH("ROTA",UPPER(D265))),ISNUMBER(SEARCH("ENERGIA",UPPER(D265)))),"🔴 Infraestrutura (Telebras)",
IF(OR(ISNUMBER(SEARCH("MVC",UPPER(D265))),ISNUMBER(SEARCH("FOTOS",UPPER(D265))),ISNUMBER(SEARCH("DOC",UPPER(D265))),ISNUMBER(SEARCH("TERMO",UPPER(D265))),ISNUMBER(SEARCH("CORREÇÃO",UPPER(D265))),ISNUMBER(SEARCH("CORRECAO",UPPER(D265)))),"🟠 Pendência Operacional (MVC)",
IF(OR(ISNUMBER(SEARCH("FECHADO",UPPER(D265))),ISNUMBER(SEARCH("HORÁRIO",UPPER(D265))),ISNUMBER(SEARCH("TARDE",UPPER(D265))),ISNUMBER(SEARCH("CORREIOS",UPPER(D265))),ISNUMBER(SEARCH("MATERIAL",UPPER(D265))),ISNUMBER(SEARCH("REAGENDADA",UPPER(D265))),ISNUMBER(SEARCH("REAGENDADO",UPPER(D265))),ISNUMBER(SEARCH("ALLTECH",UPPER(D265))),ISNUMBER(SEARCH("MA",UPPER(D265))),ISNUMBER(SEARCH("SEFAZ",UPPER(D265)))),"🟡 Acesso / MA / Logística",
IF(OR(ISNUMBER(SEARCH("FINALIZADO",UPPER(D265))),ISNUMBER(SEARCH("FINALIZADA",UPPER(D265))),ISNUMBER(SEARCH("MIGRADA",UPPER(D265)))),"✅ Concluído",
"A Verificar")))))))</f>
        <v>✅ Concluído</v>
      </c>
      <c r="F265" s="10"/>
      <c r="G265" s="11"/>
      <c r="H265" s="11" t="str">
        <f t="shared" si="19"/>
        <v/>
      </c>
      <c r="I265" s="10"/>
      <c r="J265" s="11"/>
      <c r="K265" s="11" t="str">
        <f t="shared" si="20"/>
        <v/>
      </c>
      <c r="L265" s="11"/>
      <c r="M265" s="11"/>
    </row>
    <row r="266" spans="1:13" hidden="1" x14ac:dyDescent="0.25">
      <c r="A266" s="6" t="s">
        <v>568</v>
      </c>
      <c r="B266" s="7" t="s">
        <v>569</v>
      </c>
      <c r="C266" s="8">
        <v>45814</v>
      </c>
      <c r="D266" s="11" t="s">
        <v>15</v>
      </c>
      <c r="E266" s="9" t="str">
        <f t="shared" si="22"/>
        <v>✅ Concluído</v>
      </c>
      <c r="F266" s="10"/>
      <c r="G266" s="11"/>
      <c r="H266" s="11" t="str">
        <f t="shared" si="19"/>
        <v/>
      </c>
      <c r="I266" s="10"/>
      <c r="J266" s="11"/>
      <c r="K266" s="11" t="str">
        <f t="shared" si="20"/>
        <v/>
      </c>
      <c r="L266" s="11"/>
      <c r="M266" s="11"/>
    </row>
    <row r="267" spans="1:13" hidden="1" x14ac:dyDescent="0.25">
      <c r="A267" s="6" t="s">
        <v>570</v>
      </c>
      <c r="B267" s="7" t="s">
        <v>571</v>
      </c>
      <c r="C267" s="8">
        <v>45807</v>
      </c>
      <c r="D267" s="11" t="s">
        <v>15</v>
      </c>
      <c r="E267" s="9" t="str">
        <f t="shared" si="22"/>
        <v>✅ Concluído</v>
      </c>
      <c r="F267" s="10"/>
      <c r="G267" s="11"/>
      <c r="H267" s="11" t="str">
        <f t="shared" si="19"/>
        <v/>
      </c>
      <c r="I267" s="10"/>
      <c r="J267" s="11"/>
      <c r="K267" s="11" t="str">
        <f t="shared" si="20"/>
        <v/>
      </c>
      <c r="L267" s="11"/>
      <c r="M267" s="11"/>
    </row>
    <row r="268" spans="1:13" hidden="1" x14ac:dyDescent="0.25">
      <c r="A268" s="6" t="s">
        <v>572</v>
      </c>
      <c r="B268" s="7" t="s">
        <v>573</v>
      </c>
      <c r="C268" s="8">
        <v>45811</v>
      </c>
      <c r="D268" s="11" t="s">
        <v>15</v>
      </c>
      <c r="E268" s="9" t="str">
        <f t="shared" si="22"/>
        <v>✅ Concluído</v>
      </c>
      <c r="F268" s="10"/>
      <c r="G268" s="11"/>
      <c r="H268" s="11" t="str">
        <f t="shared" si="19"/>
        <v/>
      </c>
      <c r="I268" s="10"/>
      <c r="J268" s="11"/>
      <c r="K268" s="11" t="str">
        <f t="shared" si="20"/>
        <v/>
      </c>
      <c r="L268" s="11"/>
      <c r="M268" s="11"/>
    </row>
    <row r="269" spans="1:13" hidden="1" x14ac:dyDescent="0.25">
      <c r="A269" s="6" t="s">
        <v>574</v>
      </c>
      <c r="B269" s="7" t="s">
        <v>575</v>
      </c>
      <c r="C269" s="8">
        <v>45810</v>
      </c>
      <c r="D269" s="11" t="s">
        <v>650</v>
      </c>
      <c r="E269" s="9" t="str">
        <f t="shared" si="22"/>
        <v>🔴 Infraestrutura (Telebras)</v>
      </c>
      <c r="F269" s="10">
        <v>45952</v>
      </c>
      <c r="G269" s="11" t="s">
        <v>15</v>
      </c>
      <c r="H269" s="11" t="str">
        <f>IF(G269="","",IF(AND(OR(ISNUMBER(SEARCH("TELEBRAS",UPPER(G269))),ISNUMBER(SEARCH("TLB",UPPER(G269))),ISNUMBER(SEARCH("LINK",UPPER(G269))),ISNUMBER(SEARCH("ROTA",UPPER(G269))),ISNUMBER(SEARCH("ENERGIA",UPPER(G269)))),OR(ISNUMBER(SEARCH("MVC",UPPER(G269))),ISNUMBER(SEARCH("FOTOS",UPPER(G269))),ISNUMBER(SEARCH("DOC",UPPER(G269))),ISNUMBER(SEARCH("TERMO",UPPER(G269))),ISNUMBER(SEARCH("CORREÇÃO",UPPER(G269))),ISNUMBER(SEARCH("CORRECAO",UPPER(G269))))),"🔴🟠 Misto (Telebras + MVC)",
 IF(OR(ISNUMBER(SEARCH("TELEBRAS",UPPER(G269))),ISNUMBER(SEARCH("TLB",UPPER(G269))),ISNUMBER(SEARCH("LINK",UPPER(G269))),ISNUMBER(SEARCH("ROTA",UPPER(G269))),ISNUMBER(SEARCH("ENERGIA",UPPER(G269)))),"🔴 Infraestrutura (Telebras)",
 IF(OR(ISNUMBER(SEARCH("MVC",UPPER(G269))),ISNUMBER(SEARCH("FOTOS",UPPER(G269))),ISNUMBER(SEARCH("DOC",UPPER(G269))),ISNUMBER(SEARCH("TERMO",UPPER(G269))),ISNUMBER(SEARCH("CORREÇÃO",UPPER(G269))),ISNUMBER(SEARCH("CORRECAO",UPPER(G269)))),"🟠 Pendência Operacional (MVC)",
 IF(OR(ISNUMBER(SEARCH("FECHADO",UPPER(G269))),ISNUMBER(SEARCH("HORÁRIO",UPPER(G269))),ISNUMBER(SEARCH("TARDE",UPPER(G269))),ISNUMBER(SEARCH("CORREIOS",UPPER(G269))),ISNUMBER(SEARCH("MATERIAL",UPPER(G269))),ISNUMBER(SEARCH("REAGENDADA",UPPER(G269))),ISNUMBER(SEARCH("REAGENDADO",UPPER(G269))),ISNUMBER(SEARCH("ALLTECH",UPPER(G269))),ISNUMBER(SEARCH("MA",UPPER(G269))),ISNUMBER(SEARCH("SEFAZ",UPPER(G269)))),"🟡 Acesso / MA / Logística",
 IF(OR(ISNUMBER(SEARCH("FINALIZADO",UPPER(G269))),ISNUMBER(SEARCH("FINALIZADA",UPPER(G269))),ISNUMBER(SEARCH("MIGRADA",UPPER(G269)))),"✅ Concluído",
 "Outros / A Verificar"))))))</f>
        <v>✅ Concluído</v>
      </c>
      <c r="I269" s="10"/>
      <c r="J269" s="11"/>
      <c r="K269" s="11" t="str">
        <f t="shared" si="20"/>
        <v/>
      </c>
      <c r="L269" s="11"/>
      <c r="M269" s="11"/>
    </row>
    <row r="270" spans="1:13" hidden="1" x14ac:dyDescent="0.25">
      <c r="A270" s="6" t="s">
        <v>576</v>
      </c>
      <c r="B270" s="7" t="s">
        <v>577</v>
      </c>
      <c r="C270" s="8">
        <v>45812</v>
      </c>
      <c r="D270" s="11" t="s">
        <v>15</v>
      </c>
      <c r="E270" s="9" t="str">
        <f t="shared" si="22"/>
        <v>✅ Concluído</v>
      </c>
      <c r="F270" s="10"/>
      <c r="G270" s="11"/>
      <c r="H270" s="11" t="str">
        <f t="shared" si="19"/>
        <v/>
      </c>
      <c r="I270" s="10"/>
      <c r="J270" s="11"/>
      <c r="K270" s="11" t="str">
        <f t="shared" si="20"/>
        <v/>
      </c>
      <c r="L270" s="11"/>
      <c r="M270" s="11"/>
    </row>
    <row r="271" spans="1:13" hidden="1" x14ac:dyDescent="0.25">
      <c r="A271" s="6" t="s">
        <v>578</v>
      </c>
      <c r="B271" s="7" t="s">
        <v>579</v>
      </c>
      <c r="C271" s="8">
        <v>45790</v>
      </c>
      <c r="D271" s="11" t="s">
        <v>15</v>
      </c>
      <c r="E271" s="9" t="str">
        <f t="shared" si="22"/>
        <v>✅ Concluído</v>
      </c>
      <c r="F271" s="10"/>
      <c r="G271" s="11"/>
      <c r="H271" s="11" t="str">
        <f t="shared" si="19"/>
        <v/>
      </c>
      <c r="I271" s="10"/>
      <c r="J271" s="11"/>
      <c r="K271" s="11" t="str">
        <f t="shared" si="20"/>
        <v/>
      </c>
      <c r="L271" s="11"/>
      <c r="M271" s="11"/>
    </row>
    <row r="272" spans="1:13" ht="24" hidden="1" x14ac:dyDescent="0.25">
      <c r="A272" s="6" t="s">
        <v>580</v>
      </c>
      <c r="B272" s="7" t="s">
        <v>581</v>
      </c>
      <c r="C272" s="8">
        <v>45839</v>
      </c>
      <c r="D272" s="11" t="s">
        <v>582</v>
      </c>
      <c r="E272" s="9" t="str">
        <f t="shared" si="22"/>
        <v>🟠 Pendência Operacional (MVC)</v>
      </c>
      <c r="F272" s="10">
        <v>45840</v>
      </c>
      <c r="G272" s="11" t="s">
        <v>168</v>
      </c>
      <c r="H272" s="11" t="str">
        <f>IF(G272="","",IF(AND(OR(ISNUMBER(SEARCH("TELEBRAS",UPPER(G272))),ISNUMBER(SEARCH("TLB",UPPER(G272))),ISNUMBER(SEARCH("LINK",UPPER(G272))),ISNUMBER(SEARCH("ROTA",UPPER(G272))),ISNUMBER(SEARCH("ENERGIA",UPPER(G272)))),OR(ISNUMBER(SEARCH("MVC",UPPER(G272))),ISNUMBER(SEARCH("FOTOS",UPPER(G272))),ISNUMBER(SEARCH("DOC",UPPER(G272))),ISNUMBER(SEARCH("TERMO",UPPER(G272))),ISNUMBER(SEARCH("CORREÇÃO",UPPER(G272))),ISNUMBER(SEARCH("CORRECAO",UPPER(G272))))),"🔴🟠 Misto (Telebras + MVC)",
 IF(OR(ISNUMBER(SEARCH("TELEBRAS",UPPER(G272))),ISNUMBER(SEARCH("TLB",UPPER(G272))),ISNUMBER(SEARCH("LINK",UPPER(G272))),ISNUMBER(SEARCH("ROTA",UPPER(G272))),ISNUMBER(SEARCH("ENERGIA",UPPER(G272)))),"🔴 Infraestrutura (Telebras)",
 IF(OR(ISNUMBER(SEARCH("MVC",UPPER(G272))),ISNUMBER(SEARCH("FOTOS",UPPER(G272))),ISNUMBER(SEARCH("DOC",UPPER(G272))),ISNUMBER(SEARCH("TERMO",UPPER(G272))),ISNUMBER(SEARCH("CORREÇÃO",UPPER(G272))),ISNUMBER(SEARCH("CORRECAO",UPPER(G272)))),"🟠 Pendência Operacional (MVC)",
 IF(OR(ISNUMBER(SEARCH("FECHADO",UPPER(G272))),ISNUMBER(SEARCH("HORÁRIO",UPPER(G272))),ISNUMBER(SEARCH("TARDE",UPPER(G272))),ISNUMBER(SEARCH("CORREIOS",UPPER(G272))),ISNUMBER(SEARCH("MATERIAL",UPPER(G272))),ISNUMBER(SEARCH("REAGENDADA",UPPER(G272))),ISNUMBER(SEARCH("REAGENDADO",UPPER(G272))),ISNUMBER(SEARCH("ALLTECH",UPPER(G272))),ISNUMBER(SEARCH("MA",UPPER(G272))),ISNUMBER(SEARCH("SEFAZ",UPPER(G272)))),"🟡 Acesso / MA / Logística",
 IF(OR(ISNUMBER(SEARCH("FINALIZADO",UPPER(G272))),ISNUMBER(SEARCH("FINALIZADA",UPPER(G272))),ISNUMBER(SEARCH("MIGRADA",UPPER(G272)))),"✅ Concluído",
 "Outros / A Verificar"))))))</f>
        <v>🔴 Infraestrutura (Telebras)</v>
      </c>
      <c r="I272" s="10">
        <v>45877</v>
      </c>
      <c r="J272" s="11" t="s">
        <v>15</v>
      </c>
      <c r="K272" s="11" t="str">
        <f t="shared" si="20"/>
        <v>✅ Concluído</v>
      </c>
      <c r="L272" s="11"/>
      <c r="M272" s="11"/>
    </row>
    <row r="273" spans="1:13" hidden="1" x14ac:dyDescent="0.25">
      <c r="A273" s="6" t="s">
        <v>583</v>
      </c>
      <c r="B273" s="7" t="s">
        <v>584</v>
      </c>
      <c r="C273" s="8">
        <v>45846</v>
      </c>
      <c r="D273" s="11" t="s">
        <v>15</v>
      </c>
      <c r="E273" s="9" t="str">
        <f t="shared" si="22"/>
        <v>✅ Concluído</v>
      </c>
      <c r="F273" s="10"/>
      <c r="G273" s="11"/>
      <c r="H273" s="11" t="str">
        <f t="shared" si="19"/>
        <v/>
      </c>
      <c r="I273" s="10"/>
      <c r="J273" s="11"/>
      <c r="K273" s="11" t="str">
        <f t="shared" si="20"/>
        <v/>
      </c>
      <c r="L273" s="11"/>
      <c r="M273" s="11"/>
    </row>
    <row r="274" spans="1:13" hidden="1" x14ac:dyDescent="0.25">
      <c r="A274" s="6" t="s">
        <v>585</v>
      </c>
      <c r="B274" s="7" t="s">
        <v>586</v>
      </c>
      <c r="C274" s="8">
        <v>45813</v>
      </c>
      <c r="D274" s="11" t="s">
        <v>650</v>
      </c>
      <c r="E274" s="9" t="str">
        <f t="shared" si="22"/>
        <v>🔴 Infraestrutura (Telebras)</v>
      </c>
      <c r="F274" s="10">
        <v>45910</v>
      </c>
      <c r="G274" s="11" t="s">
        <v>15</v>
      </c>
      <c r="H274" s="11" t="str">
        <f>IF(G274="","",IF(AND(OR(ISNUMBER(SEARCH("TELEBRAS",UPPER(G274))),ISNUMBER(SEARCH("TLB",UPPER(G274))),ISNUMBER(SEARCH("LINK",UPPER(G274))),ISNUMBER(SEARCH("ROTA",UPPER(G274))),ISNUMBER(SEARCH("ENERGIA",UPPER(G274)))),OR(ISNUMBER(SEARCH("MVC",UPPER(G274))),ISNUMBER(SEARCH("FOTOS",UPPER(G274))),ISNUMBER(SEARCH("DOC",UPPER(G274))),ISNUMBER(SEARCH("TERMO",UPPER(G274))),ISNUMBER(SEARCH("CORREÇÃO",UPPER(G274))),ISNUMBER(SEARCH("CORRECAO",UPPER(G274))))),"🔴🟠 Misto (Telebras + MVC)",
 IF(OR(ISNUMBER(SEARCH("TELEBRAS",UPPER(G274))),ISNUMBER(SEARCH("TLB",UPPER(G274))),ISNUMBER(SEARCH("LINK",UPPER(G274))),ISNUMBER(SEARCH("ROTA",UPPER(G274))),ISNUMBER(SEARCH("ENERGIA",UPPER(G274)))),"🔴 Infraestrutura (Telebras)",
 IF(OR(ISNUMBER(SEARCH("MVC",UPPER(G274))),ISNUMBER(SEARCH("FOTOS",UPPER(G274))),ISNUMBER(SEARCH("DOC",UPPER(G274))),ISNUMBER(SEARCH("TERMO",UPPER(G274))),ISNUMBER(SEARCH("CORREÇÃO",UPPER(G274))),ISNUMBER(SEARCH("CORRECAO",UPPER(G274)))),"🟠 Pendência Operacional (MVC)",
 IF(OR(ISNUMBER(SEARCH("FECHADO",UPPER(G274))),ISNUMBER(SEARCH("HORÁRIO",UPPER(G274))),ISNUMBER(SEARCH("TARDE",UPPER(G274))),ISNUMBER(SEARCH("CORREIOS",UPPER(G274))),ISNUMBER(SEARCH("MATERIAL",UPPER(G274))),ISNUMBER(SEARCH("REAGENDADA",UPPER(G274))),ISNUMBER(SEARCH("REAGENDADO",UPPER(G274))),ISNUMBER(SEARCH("ALLTECH",UPPER(G274))),ISNUMBER(SEARCH("MA",UPPER(G274))),ISNUMBER(SEARCH("SEFAZ",UPPER(G274)))),"🟡 Acesso / MA / Logística",
 IF(OR(ISNUMBER(SEARCH("FINALIZADO",UPPER(G274))),ISNUMBER(SEARCH("FINALIZADA",UPPER(G274))),ISNUMBER(SEARCH("MIGRADA",UPPER(G274)))),"✅ Concluído",
 "Outros / A Verificar"))))))</f>
        <v>✅ Concluído</v>
      </c>
      <c r="I274" s="10"/>
      <c r="J274" s="11"/>
      <c r="K274" s="11" t="str">
        <f t="shared" si="20"/>
        <v/>
      </c>
      <c r="L274" s="11"/>
      <c r="M274" s="11"/>
    </row>
    <row r="275" spans="1:13" hidden="1" x14ac:dyDescent="0.25">
      <c r="A275" s="6" t="s">
        <v>587</v>
      </c>
      <c r="B275" s="7" t="s">
        <v>588</v>
      </c>
      <c r="C275" s="8">
        <v>45807</v>
      </c>
      <c r="D275" s="11" t="s">
        <v>883</v>
      </c>
      <c r="E275" s="9" t="str">
        <f t="shared" si="22"/>
        <v>🟠 Pendência Operacional (MVC)</v>
      </c>
      <c r="F275" s="10"/>
      <c r="G275" s="11"/>
      <c r="H275" s="11" t="str">
        <f t="shared" si="19"/>
        <v/>
      </c>
      <c r="I275" s="10"/>
      <c r="J275" s="11"/>
      <c r="K275" s="11" t="str">
        <f t="shared" si="20"/>
        <v/>
      </c>
      <c r="L275" s="11"/>
      <c r="M275" s="11"/>
    </row>
    <row r="276" spans="1:13" hidden="1" x14ac:dyDescent="0.25">
      <c r="A276" s="6" t="s">
        <v>589</v>
      </c>
      <c r="B276" s="7" t="s">
        <v>590</v>
      </c>
      <c r="C276" s="8">
        <v>45786</v>
      </c>
      <c r="D276" s="11" t="s">
        <v>15</v>
      </c>
      <c r="E276" s="9" t="str">
        <f t="shared" si="22"/>
        <v>✅ Concluído</v>
      </c>
      <c r="F276" s="10"/>
      <c r="G276" s="11"/>
      <c r="H276" s="11" t="str">
        <f t="shared" si="19"/>
        <v/>
      </c>
      <c r="I276" s="10"/>
      <c r="J276" s="11"/>
      <c r="K276" s="11" t="str">
        <f t="shared" si="20"/>
        <v/>
      </c>
      <c r="L276" s="11"/>
      <c r="M276" s="11"/>
    </row>
    <row r="277" spans="1:13" hidden="1" x14ac:dyDescent="0.25">
      <c r="A277" s="6" t="s">
        <v>591</v>
      </c>
      <c r="B277" s="7" t="s">
        <v>592</v>
      </c>
      <c r="C277" s="8">
        <v>45814</v>
      </c>
      <c r="D277" s="11" t="s">
        <v>15</v>
      </c>
      <c r="E277" s="9" t="str">
        <f t="shared" si="22"/>
        <v>✅ Concluído</v>
      </c>
      <c r="F277" s="10"/>
      <c r="G277" s="11"/>
      <c r="H277" s="11" t="str">
        <f t="shared" si="19"/>
        <v/>
      </c>
      <c r="I277" s="10"/>
      <c r="J277" s="11"/>
      <c r="K277" s="11" t="str">
        <f t="shared" si="20"/>
        <v/>
      </c>
      <c r="L277" s="11"/>
      <c r="M277" s="11"/>
    </row>
    <row r="278" spans="1:13" hidden="1" x14ac:dyDescent="0.25">
      <c r="A278" s="6" t="s">
        <v>593</v>
      </c>
      <c r="B278" s="7" t="s">
        <v>594</v>
      </c>
      <c r="C278" s="8">
        <v>45782</v>
      </c>
      <c r="D278" s="11" t="s">
        <v>595</v>
      </c>
      <c r="E278" s="9" t="str">
        <f t="shared" si="22"/>
        <v>🟠 Pendência Operacional (MVC)</v>
      </c>
      <c r="F278" s="10">
        <v>45911</v>
      </c>
      <c r="G278" s="11" t="s">
        <v>15</v>
      </c>
      <c r="H278" s="11" t="str">
        <f>IF(G278="","",IF(AND(OR(ISNUMBER(SEARCH("TELEBRAS",UPPER(G278))),ISNUMBER(SEARCH("TLB",UPPER(G278))),ISNUMBER(SEARCH("LINK",UPPER(G278))),ISNUMBER(SEARCH("ROTA",UPPER(G278))),ISNUMBER(SEARCH("ENERGIA",UPPER(G278)))),OR(ISNUMBER(SEARCH("MVC",UPPER(G278))),ISNUMBER(SEARCH("FOTOS",UPPER(G278))),ISNUMBER(SEARCH("DOC",UPPER(G278))),ISNUMBER(SEARCH("TERMO",UPPER(G278))),ISNUMBER(SEARCH("CORREÇÃO",UPPER(G278))),ISNUMBER(SEARCH("CORRECAO",UPPER(G278))))),"🔴🟠 Misto (Telebras + MVC)",
 IF(OR(ISNUMBER(SEARCH("TELEBRAS",UPPER(G278))),ISNUMBER(SEARCH("TLB",UPPER(G278))),ISNUMBER(SEARCH("LINK",UPPER(G278))),ISNUMBER(SEARCH("ROTA",UPPER(G278))),ISNUMBER(SEARCH("ENERGIA",UPPER(G278)))),"🔴 Infraestrutura (Telebras)",
 IF(OR(ISNUMBER(SEARCH("MVC",UPPER(G278))),ISNUMBER(SEARCH("FOTOS",UPPER(G278))),ISNUMBER(SEARCH("DOC",UPPER(G278))),ISNUMBER(SEARCH("TERMO",UPPER(G278))),ISNUMBER(SEARCH("CORREÇÃO",UPPER(G278))),ISNUMBER(SEARCH("CORRECAO",UPPER(G278)))),"🟠 Pendência Operacional (MVC)",
 IF(OR(ISNUMBER(SEARCH("FECHADO",UPPER(G278))),ISNUMBER(SEARCH("HORÁRIO",UPPER(G278))),ISNUMBER(SEARCH("TARDE",UPPER(G278))),ISNUMBER(SEARCH("CORREIOS",UPPER(G278))),ISNUMBER(SEARCH("MATERIAL",UPPER(G278))),ISNUMBER(SEARCH("REAGENDADA",UPPER(G278))),ISNUMBER(SEARCH("REAGENDADO",UPPER(G278))),ISNUMBER(SEARCH("ALLTECH",UPPER(G278))),ISNUMBER(SEARCH("MA",UPPER(G278))),ISNUMBER(SEARCH("SEFAZ",UPPER(G278)))),"🟡 Acesso / MA / Logística",
 IF(OR(ISNUMBER(SEARCH("FINALIZADO",UPPER(G278))),ISNUMBER(SEARCH("FINALIZADA",UPPER(G278))),ISNUMBER(SEARCH("MIGRADA",UPPER(G278)))),"✅ Concluído",
 "Outros / A Verificar"))))))</f>
        <v>✅ Concluído</v>
      </c>
      <c r="I278" s="10"/>
      <c r="J278" s="11"/>
      <c r="K278" s="11" t="str">
        <f t="shared" si="20"/>
        <v/>
      </c>
      <c r="L278" s="11"/>
      <c r="M278" s="11"/>
    </row>
    <row r="279" spans="1:13" ht="24" hidden="1" x14ac:dyDescent="0.25">
      <c r="A279" s="6" t="s">
        <v>596</v>
      </c>
      <c r="B279" s="7" t="s">
        <v>597</v>
      </c>
      <c r="C279" s="8">
        <v>45821</v>
      </c>
      <c r="D279" s="11" t="s">
        <v>882</v>
      </c>
      <c r="E279" s="9" t="str">
        <f t="shared" si="22"/>
        <v>🔴🟠 Misto (Telebras + MVC)</v>
      </c>
      <c r="F279" s="10">
        <v>45988</v>
      </c>
      <c r="G279" s="11" t="s">
        <v>885</v>
      </c>
      <c r="H279" s="11" t="str">
        <f t="shared" si="19"/>
        <v>✅ Concluído</v>
      </c>
      <c r="I279" s="10"/>
      <c r="J279" s="11"/>
      <c r="K279" s="11" t="str">
        <f t="shared" si="20"/>
        <v/>
      </c>
      <c r="L279" s="11"/>
      <c r="M279" s="11"/>
    </row>
    <row r="280" spans="1:13" hidden="1" x14ac:dyDescent="0.25">
      <c r="A280" s="6" t="s">
        <v>598</v>
      </c>
      <c r="B280" s="7" t="s">
        <v>599</v>
      </c>
      <c r="C280" s="8">
        <v>45806</v>
      </c>
      <c r="D280" s="11" t="s">
        <v>15</v>
      </c>
      <c r="E280" s="9" t="str">
        <f t="shared" si="22"/>
        <v>✅ Concluído</v>
      </c>
      <c r="F280" s="10"/>
      <c r="G280" s="11"/>
      <c r="H280" s="11" t="str">
        <f t="shared" si="19"/>
        <v/>
      </c>
      <c r="I280" s="10"/>
      <c r="J280" s="11"/>
      <c r="K280" s="11" t="str">
        <f t="shared" si="20"/>
        <v/>
      </c>
      <c r="L280" s="11"/>
      <c r="M280" s="11"/>
    </row>
    <row r="281" spans="1:13" hidden="1" x14ac:dyDescent="0.25">
      <c r="A281" s="6" t="s">
        <v>600</v>
      </c>
      <c r="B281" s="7" t="s">
        <v>601</v>
      </c>
      <c r="C281" s="8">
        <v>45903</v>
      </c>
      <c r="D281" s="11" t="s">
        <v>873</v>
      </c>
      <c r="E281" s="9" t="str">
        <f t="shared" si="22"/>
        <v>🔴 Infraestrutura (Telebras)</v>
      </c>
      <c r="F281" s="10"/>
      <c r="G281" s="11"/>
      <c r="H281" s="11" t="str">
        <f t="shared" si="19"/>
        <v/>
      </c>
      <c r="I281" s="10"/>
      <c r="J281" s="11"/>
      <c r="K281" s="11" t="str">
        <f t="shared" si="20"/>
        <v/>
      </c>
      <c r="L281" s="11"/>
      <c r="M281" s="11"/>
    </row>
    <row r="282" spans="1:13" hidden="1" x14ac:dyDescent="0.25">
      <c r="A282" s="6" t="s">
        <v>602</v>
      </c>
      <c r="B282" s="7" t="s">
        <v>603</v>
      </c>
      <c r="C282" s="8">
        <v>45799</v>
      </c>
      <c r="D282" s="11" t="s">
        <v>604</v>
      </c>
      <c r="E282" s="9" t="str">
        <f t="shared" si="22"/>
        <v>🔴🟠 Misto (Telebras + MVC)</v>
      </c>
      <c r="F282" s="10">
        <v>45953</v>
      </c>
      <c r="G282" s="11" t="s">
        <v>15</v>
      </c>
      <c r="H282" s="11" t="str">
        <f>IF(G282="","",IF(AND(OR(ISNUMBER(SEARCH("TELEBRAS",UPPER(G282))),ISNUMBER(SEARCH("TLB",UPPER(G282))),ISNUMBER(SEARCH("LINK",UPPER(G282))),ISNUMBER(SEARCH("ROTA",UPPER(G282))),ISNUMBER(SEARCH("ENERGIA",UPPER(G282)))),OR(ISNUMBER(SEARCH("MVC",UPPER(G282))),ISNUMBER(SEARCH("FOTOS",UPPER(G282))),ISNUMBER(SEARCH("DOC",UPPER(G282))),ISNUMBER(SEARCH("TERMO",UPPER(G282))),ISNUMBER(SEARCH("CORREÇÃO",UPPER(G282))),ISNUMBER(SEARCH("CORRECAO",UPPER(G282))))),"🔴🟠 Misto (Telebras + MVC)",
 IF(OR(ISNUMBER(SEARCH("TELEBRAS",UPPER(G282))),ISNUMBER(SEARCH("TLB",UPPER(G282))),ISNUMBER(SEARCH("LINK",UPPER(G282))),ISNUMBER(SEARCH("ROTA",UPPER(G282))),ISNUMBER(SEARCH("ENERGIA",UPPER(G282)))),"🔴 Infraestrutura (Telebras)",
 IF(OR(ISNUMBER(SEARCH("MVC",UPPER(G282))),ISNUMBER(SEARCH("FOTOS",UPPER(G282))),ISNUMBER(SEARCH("DOC",UPPER(G282))),ISNUMBER(SEARCH("TERMO",UPPER(G282))),ISNUMBER(SEARCH("CORREÇÃO",UPPER(G282))),ISNUMBER(SEARCH("CORRECAO",UPPER(G282)))),"🟠 Pendência Operacional (MVC)",
 IF(OR(ISNUMBER(SEARCH("FECHADO",UPPER(G282))),ISNUMBER(SEARCH("HORÁRIO",UPPER(G282))),ISNUMBER(SEARCH("TARDE",UPPER(G282))),ISNUMBER(SEARCH("CORREIOS",UPPER(G282))),ISNUMBER(SEARCH("MATERIAL",UPPER(G282))),ISNUMBER(SEARCH("REAGENDADA",UPPER(G282))),ISNUMBER(SEARCH("REAGENDADO",UPPER(G282))),ISNUMBER(SEARCH("ALLTECH",UPPER(G282))),ISNUMBER(SEARCH("MA",UPPER(G282))),ISNUMBER(SEARCH("SEFAZ",UPPER(G282)))),"🟡 Acesso / MA / Logística",
 IF(OR(ISNUMBER(SEARCH("FINALIZADO",UPPER(G282))),ISNUMBER(SEARCH("FINALIZADA",UPPER(G282))),ISNUMBER(SEARCH("MIGRADA",UPPER(G282)))),"✅ Concluído",
 "Outros / A Verificar"))))))</f>
        <v>✅ Concluído</v>
      </c>
      <c r="I282" s="10"/>
      <c r="J282" s="11"/>
      <c r="K282" s="11" t="str">
        <f t="shared" si="20"/>
        <v/>
      </c>
      <c r="L282" s="11"/>
      <c r="M282" s="11"/>
    </row>
    <row r="283" spans="1:13" hidden="1" x14ac:dyDescent="0.25">
      <c r="A283" s="6" t="s">
        <v>605</v>
      </c>
      <c r="B283" s="7" t="s">
        <v>606</v>
      </c>
      <c r="C283" s="8">
        <v>45889</v>
      </c>
      <c r="D283" s="11" t="s">
        <v>15</v>
      </c>
      <c r="E283" s="9" t="str">
        <f t="shared" si="22"/>
        <v>✅ Concluído</v>
      </c>
      <c r="F283" s="10"/>
      <c r="G283" s="11"/>
      <c r="H283" s="11" t="str">
        <f t="shared" si="19"/>
        <v/>
      </c>
      <c r="I283" s="10"/>
      <c r="J283" s="11"/>
      <c r="K283" s="11" t="str">
        <f t="shared" si="20"/>
        <v/>
      </c>
      <c r="L283" s="11"/>
      <c r="M283" s="11"/>
    </row>
    <row r="284" spans="1:13" hidden="1" x14ac:dyDescent="0.25">
      <c r="A284" s="6" t="s">
        <v>607</v>
      </c>
      <c r="B284" s="7" t="s">
        <v>608</v>
      </c>
      <c r="C284" s="8">
        <v>45800</v>
      </c>
      <c r="D284" s="11" t="s">
        <v>15</v>
      </c>
      <c r="E284" s="9" t="str">
        <f t="shared" si="22"/>
        <v>✅ Concluído</v>
      </c>
      <c r="F284" s="10"/>
      <c r="G284" s="11"/>
      <c r="H284" s="11" t="str">
        <f t="shared" si="19"/>
        <v/>
      </c>
      <c r="I284" s="10"/>
      <c r="J284" s="11"/>
      <c r="K284" s="11" t="str">
        <f t="shared" si="20"/>
        <v/>
      </c>
      <c r="L284" s="11"/>
      <c r="M284" s="11"/>
    </row>
    <row r="285" spans="1:13" hidden="1" x14ac:dyDescent="0.25">
      <c r="A285" s="6" t="s">
        <v>609</v>
      </c>
      <c r="B285" s="7" t="s">
        <v>610</v>
      </c>
      <c r="C285" s="8">
        <v>45887</v>
      </c>
      <c r="D285" s="11" t="s">
        <v>15</v>
      </c>
      <c r="E285" s="9" t="str">
        <f t="shared" si="22"/>
        <v>✅ Concluído</v>
      </c>
      <c r="F285" s="10"/>
      <c r="G285" s="11"/>
      <c r="H285" s="11" t="str">
        <f t="shared" si="19"/>
        <v/>
      </c>
      <c r="I285" s="10"/>
      <c r="J285" s="11"/>
      <c r="K285" s="11" t="str">
        <f t="shared" si="20"/>
        <v/>
      </c>
      <c r="L285" s="11"/>
      <c r="M285" s="11"/>
    </row>
    <row r="286" spans="1:13" hidden="1" x14ac:dyDescent="0.25">
      <c r="A286" s="6" t="s">
        <v>611</v>
      </c>
      <c r="B286" s="7" t="s">
        <v>612</v>
      </c>
      <c r="C286" s="8">
        <v>45800</v>
      </c>
      <c r="D286" s="11" t="s">
        <v>650</v>
      </c>
      <c r="E286" s="9" t="str">
        <f t="shared" si="22"/>
        <v>🔴 Infraestrutura (Telebras)</v>
      </c>
      <c r="F286" s="10"/>
      <c r="G286" s="11"/>
      <c r="H286" s="11" t="str">
        <f t="shared" si="19"/>
        <v/>
      </c>
      <c r="I286" s="10"/>
      <c r="J286" s="11"/>
      <c r="K286" s="11" t="str">
        <f t="shared" si="20"/>
        <v/>
      </c>
      <c r="L286" s="11"/>
      <c r="M286" s="11"/>
    </row>
    <row r="287" spans="1:13" hidden="1" x14ac:dyDescent="0.25">
      <c r="A287" s="6" t="s">
        <v>613</v>
      </c>
      <c r="B287" s="7" t="s">
        <v>614</v>
      </c>
      <c r="C287" s="8">
        <v>45791</v>
      </c>
      <c r="D287" s="11" t="s">
        <v>15</v>
      </c>
      <c r="E287" s="9" t="str">
        <f t="shared" si="22"/>
        <v>✅ Concluído</v>
      </c>
      <c r="F287" s="10"/>
      <c r="G287" s="11"/>
      <c r="H287" s="11" t="str">
        <f t="shared" si="19"/>
        <v/>
      </c>
      <c r="I287" s="10"/>
      <c r="J287" s="11"/>
      <c r="K287" s="11" t="str">
        <f t="shared" si="20"/>
        <v/>
      </c>
      <c r="L287" s="11"/>
      <c r="M287" s="11"/>
    </row>
    <row r="288" spans="1:13" hidden="1" x14ac:dyDescent="0.25">
      <c r="A288" s="6" t="s">
        <v>615</v>
      </c>
      <c r="B288" s="7" t="s">
        <v>616</v>
      </c>
      <c r="C288" s="8">
        <v>45888</v>
      </c>
      <c r="D288" s="11" t="s">
        <v>15</v>
      </c>
      <c r="E288" s="9" t="str">
        <f t="shared" si="22"/>
        <v>✅ Concluído</v>
      </c>
      <c r="F288" s="10"/>
      <c r="G288" s="11"/>
      <c r="H288" s="11" t="str">
        <f t="shared" si="19"/>
        <v/>
      </c>
      <c r="I288" s="10"/>
      <c r="J288" s="11"/>
      <c r="K288" s="11" t="str">
        <f t="shared" si="20"/>
        <v/>
      </c>
      <c r="L288" s="11"/>
      <c r="M288" s="11"/>
    </row>
    <row r="289" spans="1:13" hidden="1" x14ac:dyDescent="0.25">
      <c r="A289" s="6" t="s">
        <v>617</v>
      </c>
      <c r="B289" s="7" t="s">
        <v>618</v>
      </c>
      <c r="C289" s="8">
        <v>45784</v>
      </c>
      <c r="D289" s="11" t="s">
        <v>15</v>
      </c>
      <c r="E289" s="9" t="str">
        <f t="shared" si="22"/>
        <v>✅ Concluído</v>
      </c>
      <c r="F289" s="10"/>
      <c r="G289" s="11"/>
      <c r="H289" s="11" t="str">
        <f t="shared" si="19"/>
        <v/>
      </c>
      <c r="I289" s="10"/>
      <c r="J289" s="11"/>
      <c r="K289" s="11" t="str">
        <f t="shared" si="20"/>
        <v/>
      </c>
      <c r="L289" s="11"/>
      <c r="M289" s="11"/>
    </row>
    <row r="290" spans="1:13" hidden="1" x14ac:dyDescent="0.25">
      <c r="A290" s="6" t="s">
        <v>619</v>
      </c>
      <c r="B290" s="7" t="s">
        <v>620</v>
      </c>
      <c r="C290" s="8">
        <v>45807</v>
      </c>
      <c r="D290" s="11" t="s">
        <v>15</v>
      </c>
      <c r="E290" s="9" t="str">
        <f t="shared" si="22"/>
        <v>✅ Concluído</v>
      </c>
      <c r="F290" s="10"/>
      <c r="G290" s="11"/>
      <c r="H290" s="11" t="str">
        <f t="shared" si="19"/>
        <v/>
      </c>
      <c r="I290" s="10"/>
      <c r="J290" s="11"/>
      <c r="K290" s="11" t="str">
        <f t="shared" si="20"/>
        <v/>
      </c>
      <c r="L290" s="11"/>
      <c r="M290" s="11"/>
    </row>
    <row r="291" spans="1:13" hidden="1" x14ac:dyDescent="0.25">
      <c r="A291" s="6" t="s">
        <v>621</v>
      </c>
      <c r="B291" s="7" t="s">
        <v>622</v>
      </c>
      <c r="C291" s="8">
        <v>45803</v>
      </c>
      <c r="D291" s="11" t="s">
        <v>15</v>
      </c>
      <c r="E291" s="9" t="str">
        <f t="shared" si="22"/>
        <v>✅ Concluído</v>
      </c>
      <c r="F291" s="10"/>
      <c r="G291" s="11"/>
      <c r="H291" s="11" t="str">
        <f t="shared" si="19"/>
        <v/>
      </c>
      <c r="I291" s="10"/>
      <c r="J291" s="11"/>
      <c r="K291" s="11" t="str">
        <f t="shared" si="20"/>
        <v/>
      </c>
      <c r="L291" s="11"/>
      <c r="M291" s="11"/>
    </row>
    <row r="292" spans="1:13" hidden="1" x14ac:dyDescent="0.25">
      <c r="A292" s="6" t="s">
        <v>623</v>
      </c>
      <c r="B292" s="7" t="s">
        <v>624</v>
      </c>
      <c r="C292" s="8">
        <v>45895</v>
      </c>
      <c r="D292" s="11" t="s">
        <v>15</v>
      </c>
      <c r="E292" s="9" t="str">
        <f t="shared" si="22"/>
        <v>✅ Concluído</v>
      </c>
      <c r="F292" s="10"/>
      <c r="G292" s="11"/>
      <c r="H292" s="11" t="str">
        <f t="shared" si="19"/>
        <v/>
      </c>
      <c r="I292" s="10"/>
      <c r="J292" s="11"/>
      <c r="K292" s="11" t="str">
        <f t="shared" si="20"/>
        <v/>
      </c>
      <c r="L292" s="11"/>
      <c r="M292" s="11"/>
    </row>
    <row r="293" spans="1:13" hidden="1" x14ac:dyDescent="0.25">
      <c r="A293" s="6" t="s">
        <v>625</v>
      </c>
      <c r="B293" s="7" t="s">
        <v>626</v>
      </c>
      <c r="C293" s="8">
        <v>45804</v>
      </c>
      <c r="D293" s="11" t="s">
        <v>595</v>
      </c>
      <c r="E293" s="9" t="str">
        <f t="shared" si="22"/>
        <v>🟠 Pendência Operacional (MVC)</v>
      </c>
      <c r="F293" s="10">
        <v>45925</v>
      </c>
      <c r="G293" s="11" t="s">
        <v>15</v>
      </c>
      <c r="H293" s="11" t="str">
        <f>IF(G293="","",IF(AND(OR(ISNUMBER(SEARCH("TELEBRAS",UPPER(G293))),ISNUMBER(SEARCH("TLB",UPPER(G293))),ISNUMBER(SEARCH("LINK",UPPER(G293))),ISNUMBER(SEARCH("ROTA",UPPER(G293))),ISNUMBER(SEARCH("ENERGIA",UPPER(G293)))),OR(ISNUMBER(SEARCH("MVC",UPPER(G293))),ISNUMBER(SEARCH("FOTOS",UPPER(G293))),ISNUMBER(SEARCH("DOC",UPPER(G293))),ISNUMBER(SEARCH("TERMO",UPPER(G293))),ISNUMBER(SEARCH("CORREÇÃO",UPPER(G293))),ISNUMBER(SEARCH("CORRECAO",UPPER(G293))))),"🔴🟠 Misto (Telebras + MVC)",
 IF(OR(ISNUMBER(SEARCH("TELEBRAS",UPPER(G293))),ISNUMBER(SEARCH("TLB",UPPER(G293))),ISNUMBER(SEARCH("LINK",UPPER(G293))),ISNUMBER(SEARCH("ROTA",UPPER(G293))),ISNUMBER(SEARCH("ENERGIA",UPPER(G293)))),"🔴 Infraestrutura (Telebras)",
 IF(OR(ISNUMBER(SEARCH("MVC",UPPER(G293))),ISNUMBER(SEARCH("FOTOS",UPPER(G293))),ISNUMBER(SEARCH("DOC",UPPER(G293))),ISNUMBER(SEARCH("TERMO",UPPER(G293))),ISNUMBER(SEARCH("CORREÇÃO",UPPER(G293))),ISNUMBER(SEARCH("CORRECAO",UPPER(G293)))),"🟠 Pendência Operacional (MVC)",
 IF(OR(ISNUMBER(SEARCH("FECHADO",UPPER(G293))),ISNUMBER(SEARCH("HORÁRIO",UPPER(G293))),ISNUMBER(SEARCH("TARDE",UPPER(G293))),ISNUMBER(SEARCH("CORREIOS",UPPER(G293))),ISNUMBER(SEARCH("MATERIAL",UPPER(G293))),ISNUMBER(SEARCH("REAGENDADA",UPPER(G293))),ISNUMBER(SEARCH("REAGENDADO",UPPER(G293))),ISNUMBER(SEARCH("ALLTECH",UPPER(G293))),ISNUMBER(SEARCH("MA",UPPER(G293))),ISNUMBER(SEARCH("SEFAZ",UPPER(G293)))),"🟡 Acesso / MA / Logística",
 IF(OR(ISNUMBER(SEARCH("FINALIZADO",UPPER(G293))),ISNUMBER(SEARCH("FINALIZADA",UPPER(G293))),ISNUMBER(SEARCH("MIGRADA",UPPER(G293)))),"✅ Concluído",
 "Outros / A Verificar"))))))</f>
        <v>✅ Concluído</v>
      </c>
      <c r="I293" s="10"/>
      <c r="J293" s="11"/>
      <c r="K293" s="11" t="str">
        <f t="shared" si="20"/>
        <v/>
      </c>
      <c r="L293" s="11"/>
      <c r="M293" s="11"/>
    </row>
    <row r="294" spans="1:13" hidden="1" x14ac:dyDescent="0.25">
      <c r="A294" s="6" t="s">
        <v>627</v>
      </c>
      <c r="B294" s="7" t="s">
        <v>628</v>
      </c>
      <c r="C294" s="8">
        <v>45806</v>
      </c>
      <c r="D294" s="11" t="s">
        <v>15</v>
      </c>
      <c r="E294" s="9" t="str">
        <f t="shared" si="22"/>
        <v>✅ Concluído</v>
      </c>
      <c r="F294" s="10"/>
      <c r="G294" s="11"/>
      <c r="H294" s="11" t="str">
        <f t="shared" si="19"/>
        <v/>
      </c>
      <c r="I294" s="10"/>
      <c r="J294" s="11"/>
      <c r="K294" s="11" t="str">
        <f t="shared" si="20"/>
        <v/>
      </c>
      <c r="L294" s="11"/>
      <c r="M294" s="11"/>
    </row>
    <row r="295" spans="1:13" hidden="1" x14ac:dyDescent="0.25">
      <c r="A295" s="6" t="s">
        <v>629</v>
      </c>
      <c r="B295" s="7" t="s">
        <v>630</v>
      </c>
      <c r="C295" s="8">
        <v>45798</v>
      </c>
      <c r="D295" s="11" t="s">
        <v>595</v>
      </c>
      <c r="E295" s="9" t="str">
        <f t="shared" si="22"/>
        <v>🟠 Pendência Operacional (MVC)</v>
      </c>
      <c r="F295" s="10">
        <v>45919</v>
      </c>
      <c r="G295" s="11" t="s">
        <v>15</v>
      </c>
      <c r="H295" s="11" t="str">
        <f>IF(G295="","",IF(AND(OR(ISNUMBER(SEARCH("TELEBRAS",UPPER(G295))),ISNUMBER(SEARCH("TLB",UPPER(G295))),ISNUMBER(SEARCH("LINK",UPPER(G295))),ISNUMBER(SEARCH("ROTA",UPPER(G295))),ISNUMBER(SEARCH("ENERGIA",UPPER(G295)))),OR(ISNUMBER(SEARCH("MVC",UPPER(G295))),ISNUMBER(SEARCH("FOTOS",UPPER(G295))),ISNUMBER(SEARCH("DOC",UPPER(G295))),ISNUMBER(SEARCH("TERMO",UPPER(G295))),ISNUMBER(SEARCH("CORREÇÃO",UPPER(G295))),ISNUMBER(SEARCH("CORRECAO",UPPER(G295))))),"🔴🟠 Misto (Telebras + MVC)",
 IF(OR(ISNUMBER(SEARCH("TELEBRAS",UPPER(G295))),ISNUMBER(SEARCH("TLB",UPPER(G295))),ISNUMBER(SEARCH("LINK",UPPER(G295))),ISNUMBER(SEARCH("ROTA",UPPER(G295))),ISNUMBER(SEARCH("ENERGIA",UPPER(G295)))),"🔴 Infraestrutura (Telebras)",
 IF(OR(ISNUMBER(SEARCH("MVC",UPPER(G295))),ISNUMBER(SEARCH("FOTOS",UPPER(G295))),ISNUMBER(SEARCH("DOC",UPPER(G295))),ISNUMBER(SEARCH("TERMO",UPPER(G295))),ISNUMBER(SEARCH("CORREÇÃO",UPPER(G295))),ISNUMBER(SEARCH("CORRECAO",UPPER(G295)))),"🟠 Pendência Operacional (MVC)",
 IF(OR(ISNUMBER(SEARCH("FECHADO",UPPER(G295))),ISNUMBER(SEARCH("HORÁRIO",UPPER(G295))),ISNUMBER(SEARCH("TARDE",UPPER(G295))),ISNUMBER(SEARCH("CORREIOS",UPPER(G295))),ISNUMBER(SEARCH("MATERIAL",UPPER(G295))),ISNUMBER(SEARCH("REAGENDADA",UPPER(G295))),ISNUMBER(SEARCH("REAGENDADO",UPPER(G295))),ISNUMBER(SEARCH("ALLTECH",UPPER(G295))),ISNUMBER(SEARCH("MA",UPPER(G295))),ISNUMBER(SEARCH("SEFAZ",UPPER(G295)))),"🟡 Acesso / MA / Logística",
 IF(OR(ISNUMBER(SEARCH("FINALIZADO",UPPER(G295))),ISNUMBER(SEARCH("FINALIZADA",UPPER(G295))),ISNUMBER(SEARCH("MIGRADA",UPPER(G295)))),"✅ Concluído",
 "Outros / A Verificar"))))))</f>
        <v>✅ Concluído</v>
      </c>
      <c r="I295" s="10"/>
      <c r="J295" s="11"/>
      <c r="K295" s="11" t="str">
        <f t="shared" si="20"/>
        <v/>
      </c>
      <c r="L295" s="11"/>
      <c r="M295" s="11"/>
    </row>
    <row r="296" spans="1:13" ht="60" hidden="1" x14ac:dyDescent="0.25">
      <c r="A296" s="6" t="s">
        <v>631</v>
      </c>
      <c r="B296" s="7" t="s">
        <v>632</v>
      </c>
      <c r="C296" s="8">
        <v>45898</v>
      </c>
      <c r="D296" s="11" t="s">
        <v>874</v>
      </c>
      <c r="E296" s="9" t="str">
        <f t="shared" si="22"/>
        <v>🔴 Infraestrutura (Telebras)</v>
      </c>
      <c r="F296" s="10"/>
      <c r="G296" s="11"/>
      <c r="H296" s="11" t="str">
        <f t="shared" si="19"/>
        <v/>
      </c>
      <c r="I296" s="10"/>
      <c r="J296" s="11"/>
      <c r="K296" s="11" t="str">
        <f t="shared" si="20"/>
        <v/>
      </c>
      <c r="L296" s="11"/>
      <c r="M296" s="11"/>
    </row>
    <row r="297" spans="1:13" hidden="1" x14ac:dyDescent="0.25">
      <c r="A297" s="6" t="s">
        <v>633</v>
      </c>
      <c r="B297" s="7" t="s">
        <v>634</v>
      </c>
      <c r="C297" s="8">
        <v>45898</v>
      </c>
      <c r="D297" s="11" t="s">
        <v>15</v>
      </c>
      <c r="E297" s="9" t="str">
        <f t="shared" si="22"/>
        <v>✅ Concluído</v>
      </c>
      <c r="F297" s="10"/>
      <c r="G297" s="11"/>
      <c r="H297" s="11" t="str">
        <f t="shared" si="19"/>
        <v/>
      </c>
      <c r="I297" s="10"/>
      <c r="J297" s="11"/>
      <c r="K297" s="11" t="str">
        <f t="shared" si="20"/>
        <v/>
      </c>
      <c r="L297" s="11"/>
      <c r="M297" s="11"/>
    </row>
    <row r="298" spans="1:13" ht="48" hidden="1" x14ac:dyDescent="0.25">
      <c r="A298" s="6" t="s">
        <v>635</v>
      </c>
      <c r="B298" s="7" t="s">
        <v>636</v>
      </c>
      <c r="C298" s="8">
        <v>45883</v>
      </c>
      <c r="D298" s="11" t="s">
        <v>871</v>
      </c>
      <c r="E298" s="9" t="str">
        <f t="shared" si="22"/>
        <v>🔴 Infraestrutura (Telebras)</v>
      </c>
      <c r="F298" s="10"/>
      <c r="G298" s="11"/>
      <c r="H298" s="11" t="str">
        <f t="shared" si="19"/>
        <v/>
      </c>
      <c r="I298" s="10"/>
      <c r="J298" s="11"/>
      <c r="K298" s="11" t="str">
        <f t="shared" si="20"/>
        <v/>
      </c>
      <c r="L298" s="11"/>
      <c r="M298" s="11"/>
    </row>
    <row r="299" spans="1:13" hidden="1" x14ac:dyDescent="0.25">
      <c r="A299" s="6" t="s">
        <v>637</v>
      </c>
      <c r="B299" s="7" t="s">
        <v>638</v>
      </c>
      <c r="C299" s="8">
        <v>45817</v>
      </c>
      <c r="D299" s="11" t="s">
        <v>15</v>
      </c>
      <c r="E299" s="9" t="str">
        <f t="shared" si="22"/>
        <v>✅ Concluído</v>
      </c>
      <c r="F299" s="10"/>
      <c r="G299" s="11"/>
      <c r="H299" s="11" t="str">
        <f t="shared" si="19"/>
        <v/>
      </c>
      <c r="I299" s="10"/>
      <c r="J299" s="11"/>
      <c r="K299" s="11" t="str">
        <f t="shared" si="20"/>
        <v/>
      </c>
      <c r="L299" s="11"/>
      <c r="M299" s="11"/>
    </row>
    <row r="300" spans="1:13" hidden="1" x14ac:dyDescent="0.25">
      <c r="A300" s="6" t="s">
        <v>639</v>
      </c>
      <c r="B300" s="7" t="s">
        <v>640</v>
      </c>
      <c r="C300" s="8">
        <v>45894</v>
      </c>
      <c r="D300" s="11" t="s">
        <v>15</v>
      </c>
      <c r="E300" s="9" t="str">
        <f t="shared" si="22"/>
        <v>✅ Concluído</v>
      </c>
      <c r="F300" s="10"/>
      <c r="G300" s="11"/>
      <c r="H300" s="11" t="str">
        <f t="shared" si="19"/>
        <v/>
      </c>
      <c r="I300" s="10"/>
      <c r="J300" s="11"/>
      <c r="K300" s="11" t="str">
        <f t="shared" si="20"/>
        <v/>
      </c>
      <c r="L300" s="11"/>
      <c r="M300" s="11"/>
    </row>
    <row r="301" spans="1:13" hidden="1" x14ac:dyDescent="0.25">
      <c r="A301" s="6" t="s">
        <v>641</v>
      </c>
      <c r="B301" s="7" t="s">
        <v>642</v>
      </c>
      <c r="C301" s="8">
        <v>45805</v>
      </c>
      <c r="D301" s="11" t="s">
        <v>15</v>
      </c>
      <c r="E301" s="9" t="str">
        <f t="shared" si="22"/>
        <v>✅ Concluído</v>
      </c>
      <c r="F301" s="10"/>
      <c r="G301" s="11"/>
      <c r="H301" s="11" t="str">
        <f t="shared" si="19"/>
        <v/>
      </c>
      <c r="I301" s="10"/>
      <c r="J301" s="11"/>
      <c r="K301" s="11" t="str">
        <f t="shared" si="20"/>
        <v/>
      </c>
      <c r="L301" s="11"/>
      <c r="M301" s="11"/>
    </row>
    <row r="302" spans="1:13" hidden="1" x14ac:dyDescent="0.25">
      <c r="A302" s="6" t="s">
        <v>643</v>
      </c>
      <c r="B302" s="7" t="s">
        <v>644</v>
      </c>
      <c r="C302" s="8">
        <v>45895</v>
      </c>
      <c r="D302" s="11" t="s">
        <v>645</v>
      </c>
      <c r="E302" s="9" t="str">
        <f t="shared" si="22"/>
        <v>🟡 Acesso / MA / Logística</v>
      </c>
      <c r="F302" s="10">
        <v>45924</v>
      </c>
      <c r="G302" s="11" t="s">
        <v>15</v>
      </c>
      <c r="H302" s="11" t="str">
        <f>IF(G302="","",IF(AND(OR(ISNUMBER(SEARCH("TELEBRAS",UPPER(G302))),ISNUMBER(SEARCH("TLB",UPPER(G302))),ISNUMBER(SEARCH("LINK",UPPER(G302))),ISNUMBER(SEARCH("ROTA",UPPER(G302))),ISNUMBER(SEARCH("ENERGIA",UPPER(G302)))),OR(ISNUMBER(SEARCH("MVC",UPPER(G302))),ISNUMBER(SEARCH("FOTOS",UPPER(G302))),ISNUMBER(SEARCH("DOC",UPPER(G302))),ISNUMBER(SEARCH("TERMO",UPPER(G302))),ISNUMBER(SEARCH("CORREÇÃO",UPPER(G302))),ISNUMBER(SEARCH("CORRECAO",UPPER(G302))))),"🔴🟠 Misto (Telebras + MVC)",
 IF(OR(ISNUMBER(SEARCH("TELEBRAS",UPPER(G302))),ISNUMBER(SEARCH("TLB",UPPER(G302))),ISNUMBER(SEARCH("LINK",UPPER(G302))),ISNUMBER(SEARCH("ROTA",UPPER(G302))),ISNUMBER(SEARCH("ENERGIA",UPPER(G302)))),"🔴 Infraestrutura (Telebras)",
 IF(OR(ISNUMBER(SEARCH("MVC",UPPER(G302))),ISNUMBER(SEARCH("FOTOS",UPPER(G302))),ISNUMBER(SEARCH("DOC",UPPER(G302))),ISNUMBER(SEARCH("TERMO",UPPER(G302))),ISNUMBER(SEARCH("CORREÇÃO",UPPER(G302))),ISNUMBER(SEARCH("CORRECAO",UPPER(G302)))),"🟠 Pendência Operacional (MVC)",
 IF(OR(ISNUMBER(SEARCH("FECHADO",UPPER(G302))),ISNUMBER(SEARCH("HORÁRIO",UPPER(G302))),ISNUMBER(SEARCH("TARDE",UPPER(G302))),ISNUMBER(SEARCH("CORREIOS",UPPER(G302))),ISNUMBER(SEARCH("MATERIAL",UPPER(G302))),ISNUMBER(SEARCH("REAGENDADA",UPPER(G302))),ISNUMBER(SEARCH("REAGENDADO",UPPER(G302))),ISNUMBER(SEARCH("ALLTECH",UPPER(G302))),ISNUMBER(SEARCH("MA",UPPER(G302))),ISNUMBER(SEARCH("SEFAZ",UPPER(G302)))),"🟡 Acesso / MA / Logística",
 IF(OR(ISNUMBER(SEARCH("FINALIZADO",UPPER(G302))),ISNUMBER(SEARCH("FINALIZADA",UPPER(G302))),ISNUMBER(SEARCH("MIGRADA",UPPER(G302)))),"✅ Concluído",
 "Outros / A Verificar"))))))</f>
        <v>✅ Concluído</v>
      </c>
      <c r="I302" s="10"/>
      <c r="J302" s="11"/>
      <c r="K302" s="11" t="str">
        <f t="shared" si="20"/>
        <v/>
      </c>
      <c r="L302" s="11"/>
      <c r="M302" s="11"/>
    </row>
    <row r="303" spans="1:13" hidden="1" x14ac:dyDescent="0.25">
      <c r="A303" s="6" t="s">
        <v>646</v>
      </c>
      <c r="B303" s="7" t="s">
        <v>647</v>
      </c>
      <c r="C303" s="8">
        <v>45890</v>
      </c>
      <c r="D303" s="11" t="s">
        <v>15</v>
      </c>
      <c r="E303" s="9" t="str">
        <f t="shared" si="22"/>
        <v>✅ Concluído</v>
      </c>
      <c r="F303" s="10"/>
      <c r="G303" s="11"/>
      <c r="H303" s="11" t="str">
        <f t="shared" si="19"/>
        <v/>
      </c>
      <c r="I303" s="10"/>
      <c r="J303" s="11"/>
      <c r="K303" s="11" t="str">
        <f t="shared" si="20"/>
        <v/>
      </c>
      <c r="L303" s="11"/>
      <c r="M303" s="11"/>
    </row>
    <row r="304" spans="1:13" hidden="1" x14ac:dyDescent="0.25">
      <c r="A304" s="6" t="s">
        <v>648</v>
      </c>
      <c r="B304" s="7" t="s">
        <v>649</v>
      </c>
      <c r="C304" s="8">
        <v>45978</v>
      </c>
      <c r="D304" s="11" t="s">
        <v>650</v>
      </c>
      <c r="E304" s="9" t="str">
        <f t="shared" si="22"/>
        <v>🔴 Infraestrutura (Telebras)</v>
      </c>
      <c r="F304" s="10"/>
      <c r="G304" s="11"/>
      <c r="H304" s="11" t="str">
        <f t="shared" si="19"/>
        <v/>
      </c>
      <c r="I304" s="10"/>
      <c r="J304" s="11"/>
      <c r="K304" s="11" t="str">
        <f t="shared" si="20"/>
        <v/>
      </c>
      <c r="L304" s="11"/>
      <c r="M304" s="11"/>
    </row>
    <row r="305" spans="1:13" hidden="1" x14ac:dyDescent="0.25">
      <c r="A305" s="6" t="s">
        <v>651</v>
      </c>
      <c r="B305" s="7" t="s">
        <v>652</v>
      </c>
      <c r="C305" s="8">
        <v>45901</v>
      </c>
      <c r="D305" s="11" t="s">
        <v>653</v>
      </c>
      <c r="E305" s="9" t="str">
        <f t="shared" si="22"/>
        <v>🔴 Infraestrutura (Telebras)</v>
      </c>
      <c r="F305" s="10">
        <v>45972</v>
      </c>
      <c r="G305" s="11" t="s">
        <v>15</v>
      </c>
      <c r="H305" s="11" t="str">
        <f>IF(G305="","",IF(AND(OR(ISNUMBER(SEARCH("TELEBRAS",UPPER(G305))),ISNUMBER(SEARCH("TLB",UPPER(G305))),ISNUMBER(SEARCH("LINK",UPPER(G305))),ISNUMBER(SEARCH("ROTA",UPPER(G305))),ISNUMBER(SEARCH("ENERGIA",UPPER(G305)))),OR(ISNUMBER(SEARCH("MVC",UPPER(G305))),ISNUMBER(SEARCH("FOTOS",UPPER(G305))),ISNUMBER(SEARCH("DOC",UPPER(G305))),ISNUMBER(SEARCH("TERMO",UPPER(G305))),ISNUMBER(SEARCH("CORREÇÃO",UPPER(G305))),ISNUMBER(SEARCH("CORRECAO",UPPER(G305))))),"🔴🟠 Misto (Telebras + MVC)",
 IF(OR(ISNUMBER(SEARCH("TELEBRAS",UPPER(G305))),ISNUMBER(SEARCH("TLB",UPPER(G305))),ISNUMBER(SEARCH("LINK",UPPER(G305))),ISNUMBER(SEARCH("ROTA",UPPER(G305))),ISNUMBER(SEARCH("ENERGIA",UPPER(G305)))),"🔴 Infraestrutura (Telebras)",
 IF(OR(ISNUMBER(SEARCH("MVC",UPPER(G305))),ISNUMBER(SEARCH("FOTOS",UPPER(G305))),ISNUMBER(SEARCH("DOC",UPPER(G305))),ISNUMBER(SEARCH("TERMO",UPPER(G305))),ISNUMBER(SEARCH("CORREÇÃO",UPPER(G305))),ISNUMBER(SEARCH("CORRECAO",UPPER(G305)))),"🟠 Pendência Operacional (MVC)",
 IF(OR(ISNUMBER(SEARCH("FECHADO",UPPER(G305))),ISNUMBER(SEARCH("HORÁRIO",UPPER(G305))),ISNUMBER(SEARCH("TARDE",UPPER(G305))),ISNUMBER(SEARCH("CORREIOS",UPPER(G305))),ISNUMBER(SEARCH("MATERIAL",UPPER(G305))),ISNUMBER(SEARCH("REAGENDADA",UPPER(G305))),ISNUMBER(SEARCH("REAGENDADO",UPPER(G305))),ISNUMBER(SEARCH("ALLTECH",UPPER(G305))),ISNUMBER(SEARCH("MA",UPPER(G305))),ISNUMBER(SEARCH("SEFAZ",UPPER(G305)))),"🟡 Acesso / MA / Logística",
 IF(OR(ISNUMBER(SEARCH("FINALIZADO",UPPER(G305))),ISNUMBER(SEARCH("FINALIZADA",UPPER(G305))),ISNUMBER(SEARCH("MIGRADA",UPPER(G305)))),"✅ Concluído",
 "Outros / A Verificar"))))))</f>
        <v>✅ Concluído</v>
      </c>
      <c r="I305" s="10"/>
      <c r="J305" s="11"/>
      <c r="K305" s="11" t="str">
        <f t="shared" si="20"/>
        <v/>
      </c>
      <c r="L305" s="11"/>
      <c r="M305" s="11"/>
    </row>
    <row r="306" spans="1:13" hidden="1" x14ac:dyDescent="0.25">
      <c r="A306" s="6" t="s">
        <v>654</v>
      </c>
      <c r="B306" s="7" t="s">
        <v>655</v>
      </c>
      <c r="C306" s="8">
        <v>45896</v>
      </c>
      <c r="D306" s="11" t="s">
        <v>15</v>
      </c>
      <c r="E306" s="9" t="str">
        <f t="shared" si="22"/>
        <v>✅ Concluído</v>
      </c>
      <c r="F306" s="10"/>
      <c r="G306" s="11"/>
      <c r="H306" s="11" t="str">
        <f t="shared" si="19"/>
        <v/>
      </c>
      <c r="I306" s="10"/>
      <c r="J306" s="11"/>
      <c r="K306" s="11" t="str">
        <f t="shared" si="20"/>
        <v/>
      </c>
      <c r="L306" s="11"/>
      <c r="M306" s="11"/>
    </row>
    <row r="307" spans="1:13" ht="24" hidden="1" x14ac:dyDescent="0.25">
      <c r="A307" s="6" t="s">
        <v>656</v>
      </c>
      <c r="B307" s="7" t="s">
        <v>657</v>
      </c>
      <c r="C307" s="8">
        <v>45909</v>
      </c>
      <c r="D307" s="11" t="s">
        <v>849</v>
      </c>
      <c r="E307" s="9" t="str">
        <f t="shared" si="22"/>
        <v>🟡 Acesso / MA / Logística</v>
      </c>
      <c r="F307" s="10">
        <v>45916</v>
      </c>
      <c r="G307" s="11" t="s">
        <v>865</v>
      </c>
      <c r="H307" s="11" t="str">
        <f t="shared" ref="H307:H309" si="23">IF(G307="","",IF(AND(OR(ISNUMBER(SEARCH("TELEBRAS",UPPER(G307))),ISNUMBER(SEARCH("TLB",UPPER(G307))),ISNUMBER(SEARCH("LINK",UPPER(G307))),ISNUMBER(SEARCH("ROTA",UPPER(G307))),ISNUMBER(SEARCH("ENERGIA",UPPER(G307)))),OR(ISNUMBER(SEARCH("MVC",UPPER(G307))),ISNUMBER(SEARCH("FOTOS",UPPER(G307))),ISNUMBER(SEARCH("DOC",UPPER(G307))),ISNUMBER(SEARCH("TERMO",UPPER(G307))),ISNUMBER(SEARCH("CORREÇÃO",UPPER(G307))),ISNUMBER(SEARCH("CORRECAO",UPPER(G307))))),"🔴🟠 Misto (Telebras + MVC)",
 IF(OR(ISNUMBER(SEARCH("TELEBRAS",UPPER(G307))),ISNUMBER(SEARCH("TLB",UPPER(G307))),ISNUMBER(SEARCH("LINK",UPPER(G307))),ISNUMBER(SEARCH("ROTA",UPPER(G307))),ISNUMBER(SEARCH("ENERGIA",UPPER(G307)))),"🔴 Infraestrutura (Telebras)",
 IF(OR(ISNUMBER(SEARCH("MVC",UPPER(G307))),ISNUMBER(SEARCH("FOTOS",UPPER(G307))),ISNUMBER(SEARCH("DOC",UPPER(G307))),ISNUMBER(SEARCH("TERMO",UPPER(G307))),ISNUMBER(SEARCH("CORREÇÃO",UPPER(G307))),ISNUMBER(SEARCH("CORRECAO",UPPER(G307)))),"🟠 Pendência Operacional (MVC)",
 IF(OR(ISNUMBER(SEARCH("FECHADO",UPPER(G307))),ISNUMBER(SEARCH("HORÁRIO",UPPER(G307))),ISNUMBER(SEARCH("TARDE",UPPER(G307))),ISNUMBER(SEARCH("CORREIOS",UPPER(G307))),ISNUMBER(SEARCH("MATERIAL",UPPER(G307))),ISNUMBER(SEARCH("REAGENDADA",UPPER(G307))),ISNUMBER(SEARCH("REAGENDADO",UPPER(G307))),ISNUMBER(SEARCH("ALLTECH",UPPER(G307))),ISNUMBER(SEARCH("MA",UPPER(G307))),ISNUMBER(SEARCH("SEFAZ",UPPER(G307)))),"🟡 Acesso / MA / Logística",
 IF(OR(ISNUMBER(SEARCH("FINALIZADO",UPPER(G307))),ISNUMBER(SEARCH("FINALIZADA",UPPER(G307))),ISNUMBER(SEARCH("MIGRADA",UPPER(G307)))),"✅ Concluído",
 "Outros / A Verificar"))))))</f>
        <v>🟡 Acesso / MA / Logística</v>
      </c>
      <c r="I307" s="10">
        <v>45917</v>
      </c>
      <c r="J307" s="11" t="s">
        <v>15</v>
      </c>
      <c r="K307" s="11" t="str">
        <f t="shared" si="20"/>
        <v>✅ Concluído</v>
      </c>
      <c r="L307" s="11"/>
      <c r="M307" s="11"/>
    </row>
    <row r="308" spans="1:13" ht="24" hidden="1" x14ac:dyDescent="0.25">
      <c r="A308" s="6" t="s">
        <v>658</v>
      </c>
      <c r="B308" s="7" t="s">
        <v>659</v>
      </c>
      <c r="C308" s="8">
        <v>45891</v>
      </c>
      <c r="D308" s="11" t="s">
        <v>850</v>
      </c>
      <c r="E308" s="9" t="str">
        <f t="shared" si="22"/>
        <v>🔴 Infraestrutura (Telebras)</v>
      </c>
      <c r="F308" s="10">
        <v>45901</v>
      </c>
      <c r="G308" s="11" t="s">
        <v>868</v>
      </c>
      <c r="H308" s="11" t="str">
        <f t="shared" si="23"/>
        <v>🔴 Infraestrutura (Telebras)</v>
      </c>
      <c r="I308" s="10"/>
      <c r="J308" s="11"/>
      <c r="K308" s="11" t="str">
        <f t="shared" si="20"/>
        <v/>
      </c>
      <c r="L308" s="11"/>
      <c r="M308" s="11"/>
    </row>
    <row r="309" spans="1:13" ht="24" hidden="1" x14ac:dyDescent="0.25">
      <c r="A309" s="6" t="s">
        <v>660</v>
      </c>
      <c r="B309" s="7" t="s">
        <v>661</v>
      </c>
      <c r="C309" s="8">
        <v>45783</v>
      </c>
      <c r="D309" s="11" t="s">
        <v>662</v>
      </c>
      <c r="E309" s="9" t="str">
        <f t="shared" si="22"/>
        <v>🔴 Infraestrutura (Telebras)</v>
      </c>
      <c r="F309" s="10">
        <v>45887</v>
      </c>
      <c r="G309" s="11" t="s">
        <v>67</v>
      </c>
      <c r="H309" s="11" t="str">
        <f t="shared" si="23"/>
        <v>✅ Concluído</v>
      </c>
      <c r="I309" s="10"/>
      <c r="J309" s="11"/>
      <c r="K309" s="11" t="str">
        <f t="shared" si="20"/>
        <v/>
      </c>
      <c r="L309" s="11"/>
      <c r="M309" s="11"/>
    </row>
    <row r="310" spans="1:13" hidden="1" x14ac:dyDescent="0.25">
      <c r="A310" s="6" t="s">
        <v>663</v>
      </c>
      <c r="B310" s="7" t="s">
        <v>664</v>
      </c>
      <c r="C310" s="8">
        <v>45888</v>
      </c>
      <c r="D310" s="11" t="s">
        <v>15</v>
      </c>
      <c r="E310" s="9" t="str">
        <f t="shared" si="22"/>
        <v>✅ Concluído</v>
      </c>
      <c r="F310" s="10"/>
      <c r="G310" s="11"/>
      <c r="H310" s="11" t="str">
        <f t="shared" si="19"/>
        <v/>
      </c>
      <c r="I310" s="10"/>
      <c r="J310" s="11"/>
      <c r="K310" s="11" t="str">
        <f t="shared" si="20"/>
        <v/>
      </c>
      <c r="L310" s="11"/>
      <c r="M310" s="11"/>
    </row>
    <row r="311" spans="1:13" hidden="1" x14ac:dyDescent="0.25">
      <c r="A311" s="6" t="s">
        <v>665</v>
      </c>
      <c r="B311" s="7" t="s">
        <v>666</v>
      </c>
      <c r="C311" s="8">
        <v>45897</v>
      </c>
      <c r="D311" s="11" t="s">
        <v>15</v>
      </c>
      <c r="E311" s="9" t="str">
        <f t="shared" si="22"/>
        <v>✅ Concluído</v>
      </c>
      <c r="F311" s="10"/>
      <c r="G311" s="11"/>
      <c r="H311" s="11" t="str">
        <f t="shared" si="19"/>
        <v/>
      </c>
      <c r="I311" s="10"/>
      <c r="J311" s="11"/>
      <c r="K311" s="11" t="str">
        <f t="shared" si="20"/>
        <v/>
      </c>
      <c r="L311" s="11"/>
      <c r="M311" s="11"/>
    </row>
    <row r="312" spans="1:13" hidden="1" x14ac:dyDescent="0.25">
      <c r="A312" s="6" t="s">
        <v>667</v>
      </c>
      <c r="B312" s="7" t="s">
        <v>668</v>
      </c>
      <c r="C312" s="8">
        <v>45888</v>
      </c>
      <c r="D312" s="11" t="s">
        <v>15</v>
      </c>
      <c r="E312" s="9" t="str">
        <f t="shared" si="22"/>
        <v>✅ Concluído</v>
      </c>
      <c r="F312" s="10"/>
      <c r="G312" s="11"/>
      <c r="H312" s="11" t="str">
        <f t="shared" si="19"/>
        <v/>
      </c>
      <c r="I312" s="10"/>
      <c r="J312" s="11"/>
      <c r="K312" s="11" t="str">
        <f t="shared" si="20"/>
        <v/>
      </c>
      <c r="L312" s="11"/>
      <c r="M312" s="11"/>
    </row>
    <row r="313" spans="1:13" hidden="1" x14ac:dyDescent="0.25">
      <c r="A313" s="6" t="s">
        <v>669</v>
      </c>
      <c r="B313" s="7" t="s">
        <v>670</v>
      </c>
      <c r="C313" s="8">
        <v>45887</v>
      </c>
      <c r="D313" s="11" t="s">
        <v>15</v>
      </c>
      <c r="E313" s="9" t="str">
        <f t="shared" si="22"/>
        <v>✅ Concluído</v>
      </c>
      <c r="F313" s="10"/>
      <c r="G313" s="11"/>
      <c r="H313" s="11" t="str">
        <f t="shared" si="19"/>
        <v/>
      </c>
      <c r="I313" s="10"/>
      <c r="J313" s="11"/>
      <c r="K313" s="11" t="str">
        <f t="shared" si="20"/>
        <v/>
      </c>
      <c r="L313" s="11"/>
      <c r="M313" s="11"/>
    </row>
    <row r="314" spans="1:13" hidden="1" x14ac:dyDescent="0.25">
      <c r="A314" s="6" t="s">
        <v>671</v>
      </c>
      <c r="B314" s="7" t="s">
        <v>672</v>
      </c>
      <c r="C314" s="8">
        <v>45889</v>
      </c>
      <c r="D314" s="11" t="s">
        <v>15</v>
      </c>
      <c r="E314" s="9" t="str">
        <f t="shared" si="22"/>
        <v>✅ Concluído</v>
      </c>
      <c r="F314" s="10"/>
      <c r="G314" s="11"/>
      <c r="H314" s="11" t="str">
        <f t="shared" si="19"/>
        <v/>
      </c>
      <c r="I314" s="10"/>
      <c r="J314" s="11"/>
      <c r="K314" s="11" t="str">
        <f t="shared" si="20"/>
        <v/>
      </c>
      <c r="L314" s="11"/>
      <c r="M314" s="11"/>
    </row>
    <row r="315" spans="1:13" hidden="1" x14ac:dyDescent="0.25">
      <c r="A315" s="6" t="s">
        <v>673</v>
      </c>
      <c r="B315" s="7" t="s">
        <v>674</v>
      </c>
      <c r="C315" s="8">
        <v>45979</v>
      </c>
      <c r="D315" s="11" t="s">
        <v>15</v>
      </c>
      <c r="E315" s="9" t="str">
        <f t="shared" si="22"/>
        <v>✅ Concluído</v>
      </c>
      <c r="F315" s="10"/>
      <c r="G315" s="11"/>
      <c r="H315" s="11" t="str">
        <f t="shared" si="19"/>
        <v/>
      </c>
      <c r="I315" s="10"/>
      <c r="J315" s="11"/>
      <c r="K315" s="11" t="str">
        <f t="shared" si="20"/>
        <v/>
      </c>
      <c r="L315" s="11"/>
      <c r="M315" s="11"/>
    </row>
    <row r="316" spans="1:13" hidden="1" x14ac:dyDescent="0.25">
      <c r="A316" s="6" t="s">
        <v>675</v>
      </c>
      <c r="B316" s="7" t="s">
        <v>676</v>
      </c>
      <c r="C316" s="8">
        <v>45889</v>
      </c>
      <c r="D316" s="11" t="s">
        <v>15</v>
      </c>
      <c r="E316" s="9" t="str">
        <f t="shared" si="22"/>
        <v>✅ Concluído</v>
      </c>
      <c r="F316" s="10"/>
      <c r="G316" s="11"/>
      <c r="H316" s="11" t="str">
        <f t="shared" si="19"/>
        <v/>
      </c>
      <c r="I316" s="10"/>
      <c r="J316" s="11"/>
      <c r="K316" s="11" t="str">
        <f t="shared" si="20"/>
        <v/>
      </c>
      <c r="L316" s="11"/>
      <c r="M316" s="11"/>
    </row>
    <row r="317" spans="1:13" hidden="1" x14ac:dyDescent="0.25">
      <c r="A317" s="6" t="s">
        <v>677</v>
      </c>
      <c r="B317" s="7" t="s">
        <v>678</v>
      </c>
      <c r="C317" s="8">
        <v>45897</v>
      </c>
      <c r="D317" s="11" t="s">
        <v>15</v>
      </c>
      <c r="E317" s="9" t="str">
        <f t="shared" si="22"/>
        <v>✅ Concluído</v>
      </c>
      <c r="F317" s="10"/>
      <c r="G317" s="11"/>
      <c r="H317" s="11" t="str">
        <f t="shared" si="19"/>
        <v/>
      </c>
      <c r="I317" s="10"/>
      <c r="J317" s="11"/>
      <c r="K317" s="11" t="str">
        <f t="shared" si="20"/>
        <v/>
      </c>
      <c r="L317" s="11"/>
      <c r="M317" s="11"/>
    </row>
    <row r="318" spans="1:13" hidden="1" x14ac:dyDescent="0.25">
      <c r="A318" s="6" t="s">
        <v>679</v>
      </c>
      <c r="B318" s="7" t="s">
        <v>680</v>
      </c>
      <c r="C318" s="8">
        <v>45895</v>
      </c>
      <c r="D318" s="11" t="s">
        <v>15</v>
      </c>
      <c r="E318" s="9" t="str">
        <f t="shared" si="22"/>
        <v>✅ Concluído</v>
      </c>
      <c r="F318" s="10"/>
      <c r="G318" s="11"/>
      <c r="H318" s="11" t="str">
        <f t="shared" si="19"/>
        <v/>
      </c>
      <c r="I318" s="10"/>
      <c r="J318" s="11"/>
      <c r="K318" s="11" t="str">
        <f t="shared" si="20"/>
        <v/>
      </c>
      <c r="L318" s="11"/>
      <c r="M318" s="11"/>
    </row>
    <row r="319" spans="1:13" hidden="1" x14ac:dyDescent="0.25">
      <c r="A319" s="6" t="s">
        <v>681</v>
      </c>
      <c r="B319" s="7" t="s">
        <v>682</v>
      </c>
      <c r="C319" s="8">
        <v>45887</v>
      </c>
      <c r="D319" s="9" t="s">
        <v>863</v>
      </c>
      <c r="E319" s="9" t="str">
        <f t="shared" si="22"/>
        <v>CANCELADO</v>
      </c>
      <c r="F319" s="10"/>
      <c r="G319" s="11"/>
      <c r="H319" s="11" t="str">
        <f t="shared" si="19"/>
        <v/>
      </c>
      <c r="I319" s="10"/>
      <c r="J319" s="11"/>
      <c r="K319" s="11" t="str">
        <f t="shared" si="20"/>
        <v/>
      </c>
      <c r="L319" s="11"/>
      <c r="M319" s="11"/>
    </row>
    <row r="320" spans="1:13" hidden="1" x14ac:dyDescent="0.25">
      <c r="A320" s="6" t="s">
        <v>683</v>
      </c>
      <c r="B320" s="7" t="s">
        <v>684</v>
      </c>
      <c r="C320" s="8">
        <v>45890</v>
      </c>
      <c r="D320" s="11" t="s">
        <v>15</v>
      </c>
      <c r="E320" s="9" t="str">
        <f t="shared" si="22"/>
        <v>✅ Concluído</v>
      </c>
      <c r="F320" s="10"/>
      <c r="G320" s="11"/>
      <c r="H320" s="11" t="str">
        <f t="shared" si="19"/>
        <v/>
      </c>
      <c r="I320" s="10"/>
      <c r="J320" s="11"/>
      <c r="K320" s="11" t="str">
        <f t="shared" si="20"/>
        <v/>
      </c>
      <c r="L320" s="11"/>
      <c r="M320" s="11"/>
    </row>
    <row r="321" spans="1:13" hidden="1" x14ac:dyDescent="0.25">
      <c r="A321" s="6" t="s">
        <v>685</v>
      </c>
      <c r="B321" s="7" t="s">
        <v>686</v>
      </c>
      <c r="C321" s="8">
        <v>45898</v>
      </c>
      <c r="D321" s="11" t="s">
        <v>15</v>
      </c>
      <c r="E321" s="9" t="str">
        <f t="shared" si="22"/>
        <v>✅ Concluído</v>
      </c>
      <c r="F321" s="10"/>
      <c r="G321" s="11"/>
      <c r="H321" s="11" t="str">
        <f t="shared" si="19"/>
        <v/>
      </c>
      <c r="I321" s="10"/>
      <c r="J321" s="11"/>
      <c r="K321" s="11" t="str">
        <f t="shared" si="20"/>
        <v/>
      </c>
      <c r="L321" s="11"/>
      <c r="M321" s="11"/>
    </row>
    <row r="322" spans="1:13" hidden="1" x14ac:dyDescent="0.25">
      <c r="A322" s="6" t="s">
        <v>687</v>
      </c>
      <c r="B322" s="7" t="s">
        <v>688</v>
      </c>
      <c r="C322" s="8">
        <v>45791</v>
      </c>
      <c r="D322" s="11" t="s">
        <v>15</v>
      </c>
      <c r="E322" s="9" t="str">
        <f t="shared" si="22"/>
        <v>✅ Concluído</v>
      </c>
      <c r="F322" s="10"/>
      <c r="G322" s="11"/>
      <c r="H322" s="11" t="str">
        <f t="shared" ref="H322:H385" si="24">IF(G322="","",IF(AND(OR(ISNUMBER(SEARCH("TELEBRAS",UPPER(G322))),ISNUMBER(SEARCH("TLB",UPPER(G322))),ISNUMBER(SEARCH("LINK",UPPER(G322))),ISNUMBER(SEARCH("ROTA",UPPER(G322))),ISNUMBER(SEARCH("ENERGIA",UPPER(G322)))),OR(ISNUMBER(SEARCH("MVC",UPPER(G322))),ISNUMBER(SEARCH("FOTOS",UPPER(G322))),ISNUMBER(SEARCH("DOC",UPPER(G322))),ISNUMBER(SEARCH("TERMO",UPPER(G322))),ISNUMBER(SEARCH("CORREÇÃO",UPPER(G322))),ISNUMBER(SEARCH("CORRECAO",UPPER(G322))))),"🔴🟠 Misto (Telebras + MVC)",
 IF(OR(ISNUMBER(SEARCH("TELEBRAS",UPPER(G322))),ISNUMBER(SEARCH("TLB",UPPER(G322))),ISNUMBER(SEARCH("LINK",UPPER(G322))),ISNUMBER(SEARCH("ROTA",UPPER(G322))),ISNUMBER(SEARCH("ENERGIA",UPPER(G322)))),"🔴 Infraestrutura (Telebras)",
 IF(OR(ISNUMBER(SEARCH("MVC",UPPER(G322))),ISNUMBER(SEARCH("FOTOS",UPPER(G322))),ISNUMBER(SEARCH("DOC",UPPER(G322))),ISNUMBER(SEARCH("TERMO",UPPER(G322))),ISNUMBER(SEARCH("CORREÇÃO",UPPER(G322))),ISNUMBER(SEARCH("CORRECAO",UPPER(G322)))),"🟠 Pendência Operacional (MVC)",
 IF(OR(ISNUMBER(SEARCH("FECHADO",UPPER(G322))),ISNUMBER(SEARCH("HORÁRIO",UPPER(G322))),ISNUMBER(SEARCH("TARDE",UPPER(G322))),ISNUMBER(SEARCH("CORREIOS",UPPER(G322))),ISNUMBER(SEARCH("MATERIAL",UPPER(G322))),ISNUMBER(SEARCH("REAGENDADA",UPPER(G322))),ISNUMBER(SEARCH("REAGENDADO",UPPER(G322))),ISNUMBER(SEARCH("ALLTECH",UPPER(G322))),ISNUMBER(SEARCH("MA",UPPER(G322))),ISNUMBER(SEARCH("SEFAZ",UPPER(G322)))),"🟡 Acesso / Logística",
 IF(OR(ISNUMBER(SEARCH("FINALIZADO",UPPER(G322))),ISNUMBER(SEARCH("FINALIZADA",UPPER(G322))),ISNUMBER(SEARCH("MIGRADA",UPPER(G322)))),"✅ Concluído",
 "Outros / A Verificar"))))))</f>
        <v/>
      </c>
      <c r="I322" s="10"/>
      <c r="J322" s="11"/>
      <c r="K322" s="11" t="str">
        <f t="shared" ref="K322:K385" si="25">IF(J322="","",IF(OR(ISNUMBER(SEARCH("TELEBRAS",UPPER(J322))), ISNUMBER(SEARCH("TLB",UPPER(J322))), ISNUMBER(SEARCH("LINK",UPPER(J322))), ISNUMBER(SEARCH("ROTA",UPPER(J322))), ISNUMBER(SEARCH("ENERGIA",UPPER(J322)))), "🔴 Infraestrutura (Telebras)",
 IF(OR(ISNUMBER(SEARCH("MVC",UPPER(J322))), ISNUMBER(SEARCH("FOTOS",UPPER(J322))), ISNUMBER(SEARCH("DOC",UPPER(J322))), ISNUMBER(SEARCH("TERMO",UPPER(J322))), ISNUMBER(SEARCH("CORREÇÃO",UPPER(J322))), ISNUMBER(SEARCH("CORRECAO",UPPER(J322)))), "🟠 Pendência Operacional (MVC)",
  IF(OR(ISNUMBER(SEARCH("FECHADO",UPPER(J322))), ISNUMBER(SEARCH("HORÁRIO",UPPER(J322))), ISNUMBER(SEARCH("TARDE",UPPER(J322))), ISNUMBER(SEARCH("CORREIOS",UPPER(J322))), ISNUMBER(SEARCH("MATERIAL",UPPER(J322)))), "🟡 Acesso / Logística",
   IF(OR(ISNUMBER(SEARCH("FINALIZADO",UPPER(J322))), ISNUMBER(SEARCH("MIGRADA",UPPER(J322)))), "✅ Concluído",
    "Outros / A Verificar")))))</f>
        <v/>
      </c>
      <c r="L322" s="11"/>
      <c r="M322" s="11"/>
    </row>
    <row r="323" spans="1:13" hidden="1" x14ac:dyDescent="0.25">
      <c r="A323" s="6" t="s">
        <v>689</v>
      </c>
      <c r="B323" s="7" t="s">
        <v>690</v>
      </c>
      <c r="C323" s="8">
        <v>45799</v>
      </c>
      <c r="D323" s="11" t="s">
        <v>851</v>
      </c>
      <c r="E323" s="9" t="str">
        <f t="shared" si="22"/>
        <v>🟠 Pendência Operacional (MVC)</v>
      </c>
      <c r="F323" s="10">
        <v>45923</v>
      </c>
      <c r="G323" s="11" t="s">
        <v>15</v>
      </c>
      <c r="H323" s="11" t="str">
        <f>IF(G323="","",IF(AND(OR(ISNUMBER(SEARCH("TELEBRAS",UPPER(G323))),ISNUMBER(SEARCH("TLB",UPPER(G323))),ISNUMBER(SEARCH("LINK",UPPER(G323))),ISNUMBER(SEARCH("ROTA",UPPER(G323))),ISNUMBER(SEARCH("ENERGIA",UPPER(G323)))),OR(ISNUMBER(SEARCH("MVC",UPPER(G323))),ISNUMBER(SEARCH("FOTOS",UPPER(G323))),ISNUMBER(SEARCH("DOC",UPPER(G323))),ISNUMBER(SEARCH("TERMO",UPPER(G323))),ISNUMBER(SEARCH("CORREÇÃO",UPPER(G323))),ISNUMBER(SEARCH("CORRECAO",UPPER(G323))))),"🔴🟠 Misto (Telebras + MVC)",
 IF(OR(ISNUMBER(SEARCH("TELEBRAS",UPPER(G323))),ISNUMBER(SEARCH("TLB",UPPER(G323))),ISNUMBER(SEARCH("LINK",UPPER(G323))),ISNUMBER(SEARCH("ROTA",UPPER(G323))),ISNUMBER(SEARCH("ENERGIA",UPPER(G323)))),"🔴 Infraestrutura (Telebras)",
 IF(OR(ISNUMBER(SEARCH("MVC",UPPER(G323))),ISNUMBER(SEARCH("FOTOS",UPPER(G323))),ISNUMBER(SEARCH("DOC",UPPER(G323))),ISNUMBER(SEARCH("TERMO",UPPER(G323))),ISNUMBER(SEARCH("CORREÇÃO",UPPER(G323))),ISNUMBER(SEARCH("CORRECAO",UPPER(G323)))),"🟠 Pendência Operacional (MVC)",
 IF(OR(ISNUMBER(SEARCH("FECHADO",UPPER(G323))),ISNUMBER(SEARCH("HORÁRIO",UPPER(G323))),ISNUMBER(SEARCH("TARDE",UPPER(G323))),ISNUMBER(SEARCH("CORREIOS",UPPER(G323))),ISNUMBER(SEARCH("MATERIAL",UPPER(G323))),ISNUMBER(SEARCH("REAGENDADA",UPPER(G323))),ISNUMBER(SEARCH("REAGENDADO",UPPER(G323))),ISNUMBER(SEARCH("ALLTECH",UPPER(G323))),ISNUMBER(SEARCH("MA",UPPER(G323))),ISNUMBER(SEARCH("SEFAZ",UPPER(G323)))),"🟡 Acesso / MA / Logística",
 IF(OR(ISNUMBER(SEARCH("FINALIZADO",UPPER(G323))),ISNUMBER(SEARCH("FINALIZADA",UPPER(G323))),ISNUMBER(SEARCH("MIGRADA",UPPER(G323)))),"✅ Concluído",
 "Outros / A Verificar"))))))</f>
        <v>✅ Concluído</v>
      </c>
      <c r="I323" s="10"/>
      <c r="J323" s="11"/>
      <c r="K323" s="11" t="str">
        <f t="shared" si="25"/>
        <v/>
      </c>
      <c r="L323" s="11"/>
      <c r="M323" s="11"/>
    </row>
    <row r="324" spans="1:13" hidden="1" x14ac:dyDescent="0.25">
      <c r="A324" s="6" t="s">
        <v>691</v>
      </c>
      <c r="B324" s="7" t="s">
        <v>692</v>
      </c>
      <c r="C324" s="8">
        <v>45817</v>
      </c>
      <c r="D324" s="11" t="s">
        <v>15</v>
      </c>
      <c r="E324" s="9" t="str">
        <f t="shared" si="22"/>
        <v>✅ Concluído</v>
      </c>
      <c r="F324" s="10"/>
      <c r="G324" s="11"/>
      <c r="H324" s="11" t="str">
        <f t="shared" si="24"/>
        <v/>
      </c>
      <c r="I324" s="10"/>
      <c r="J324" s="11"/>
      <c r="K324" s="11" t="str">
        <f t="shared" si="25"/>
        <v/>
      </c>
      <c r="L324" s="11"/>
      <c r="M324" s="11"/>
    </row>
    <row r="325" spans="1:13" hidden="1" x14ac:dyDescent="0.25">
      <c r="A325" s="6" t="s">
        <v>693</v>
      </c>
      <c r="B325" s="7" t="s">
        <v>694</v>
      </c>
      <c r="C325" s="8">
        <v>45798</v>
      </c>
      <c r="D325" s="11" t="s">
        <v>15</v>
      </c>
      <c r="E325" s="9" t="str">
        <f t="shared" si="22"/>
        <v>✅ Concluído</v>
      </c>
      <c r="F325" s="10"/>
      <c r="G325" s="11"/>
      <c r="H325" s="11" t="str">
        <f t="shared" si="24"/>
        <v/>
      </c>
      <c r="I325" s="10"/>
      <c r="J325" s="11"/>
      <c r="K325" s="11" t="str">
        <f t="shared" si="25"/>
        <v/>
      </c>
      <c r="L325" s="11"/>
      <c r="M325" s="11"/>
    </row>
    <row r="326" spans="1:13" hidden="1" x14ac:dyDescent="0.25">
      <c r="A326" s="6" t="s">
        <v>695</v>
      </c>
      <c r="B326" s="7" t="s">
        <v>696</v>
      </c>
      <c r="C326" s="8">
        <v>45818</v>
      </c>
      <c r="D326" s="11" t="s">
        <v>15</v>
      </c>
      <c r="E326" s="9" t="str">
        <f t="shared" si="22"/>
        <v>✅ Concluído</v>
      </c>
      <c r="F326" s="10"/>
      <c r="G326" s="11"/>
      <c r="H326" s="11" t="str">
        <f t="shared" si="24"/>
        <v/>
      </c>
      <c r="I326" s="10"/>
      <c r="J326" s="11"/>
      <c r="K326" s="11" t="str">
        <f t="shared" si="25"/>
        <v/>
      </c>
      <c r="L326" s="11"/>
      <c r="M326" s="11"/>
    </row>
    <row r="327" spans="1:13" hidden="1" x14ac:dyDescent="0.25">
      <c r="A327" s="6" t="s">
        <v>697</v>
      </c>
      <c r="B327" s="7" t="s">
        <v>698</v>
      </c>
      <c r="C327" s="8">
        <v>45896</v>
      </c>
      <c r="D327" s="11" t="s">
        <v>650</v>
      </c>
      <c r="E327" s="9" t="str">
        <f t="shared" si="22"/>
        <v>🔴 Infraestrutura (Telebras)</v>
      </c>
      <c r="F327" s="10"/>
      <c r="G327" s="11"/>
      <c r="H327" s="11" t="str">
        <f t="shared" si="24"/>
        <v/>
      </c>
      <c r="I327" s="10"/>
      <c r="J327" s="11"/>
      <c r="K327" s="11" t="str">
        <f t="shared" si="25"/>
        <v/>
      </c>
      <c r="L327" s="11"/>
      <c r="M327" s="11"/>
    </row>
    <row r="328" spans="1:13" hidden="1" x14ac:dyDescent="0.25">
      <c r="A328" s="6" t="s">
        <v>699</v>
      </c>
      <c r="B328" s="7" t="s">
        <v>700</v>
      </c>
      <c r="C328" s="8">
        <v>45894</v>
      </c>
      <c r="D328" s="11" t="s">
        <v>15</v>
      </c>
      <c r="E328" s="9" t="str">
        <f t="shared" si="22"/>
        <v>✅ Concluído</v>
      </c>
      <c r="F328" s="10"/>
      <c r="G328" s="11"/>
      <c r="H328" s="11" t="str">
        <f t="shared" si="24"/>
        <v/>
      </c>
      <c r="I328" s="10"/>
      <c r="J328" s="11"/>
      <c r="K328" s="11" t="str">
        <f t="shared" si="25"/>
        <v/>
      </c>
      <c r="L328" s="11"/>
      <c r="M328" s="11"/>
    </row>
    <row r="329" spans="1:13" hidden="1" x14ac:dyDescent="0.25">
      <c r="A329" s="6" t="s">
        <v>701</v>
      </c>
      <c r="B329" s="7" t="s">
        <v>702</v>
      </c>
      <c r="C329" s="8">
        <v>45806</v>
      </c>
      <c r="D329" s="11" t="s">
        <v>703</v>
      </c>
      <c r="E329" s="9" t="str">
        <f t="shared" ref="E329:E385" si="26">IF(D329="","",IF(ISNUMBER(SEARCH("CANCELADO",UPPER(D329))),"CANCELADO",IF(AND(OR(ISNUMBER(SEARCH("TELEBRAS",UPPER(D329))),ISNUMBER(SEARCH("TLB",UPPER(D329))),ISNUMBER(SEARCH("LINK",UPPER(D329))),ISNUMBER(SEARCH("ROTA",UPPER(D329))),ISNUMBER(SEARCH("ENERGIA",UPPER(D329)))),OR(ISNUMBER(SEARCH("MVC",UPPER(D329))),ISNUMBER(SEARCH("FOTOS",UPPER(D329))),ISNUMBER(SEARCH("DOC",UPPER(D329))),ISNUMBER(SEARCH("TERMO",UPPER(D329))),ISNUMBER(SEARCH("CORREÇÃO",UPPER(D329))),ISNUMBER(SEARCH("CORRECAO",UPPER(D329))))),"🔴🟠 Misto (Telebras + MVC)",
IF(OR(ISNUMBER(SEARCH("TELEBRAS",UPPER(D329))),ISNUMBER(SEARCH("TLB",UPPER(D329))),ISNUMBER(SEARCH("LINK",UPPER(D329))),ISNUMBER(SEARCH("ROTA",UPPER(D329))),ISNUMBER(SEARCH("ENERGIA",UPPER(D329)))),"🔴 Infraestrutura (Telebras)",
IF(OR(ISNUMBER(SEARCH("MVC",UPPER(D329))),ISNUMBER(SEARCH("FOTOS",UPPER(D329))),ISNUMBER(SEARCH("DOC",UPPER(D329))),ISNUMBER(SEARCH("TERMO",UPPER(D329))),ISNUMBER(SEARCH("CORREÇÃO",UPPER(D329))),ISNUMBER(SEARCH("CORRECAO",UPPER(D329)))),"🟠 Pendência Operacional (MVC)",
IF(OR(ISNUMBER(SEARCH("FECHADO",UPPER(D329))),ISNUMBER(SEARCH("HORÁRIO",UPPER(D329))),ISNUMBER(SEARCH("TARDE",UPPER(D329))),ISNUMBER(SEARCH("CORREIOS",UPPER(D329))),ISNUMBER(SEARCH("MATERIAL",UPPER(D329))),ISNUMBER(SEARCH("REAGENDADA",UPPER(D329))),ISNUMBER(SEARCH("REAGENDADO",UPPER(D329))),ISNUMBER(SEARCH("ALLTECH",UPPER(D329))),ISNUMBER(SEARCH("MA",UPPER(D329))),ISNUMBER(SEARCH("SEFAZ",UPPER(D329)))),"🟡 Acesso / MA / Logística",
IF(OR(ISNUMBER(SEARCH("FINALIZADO",UPPER(D329))),ISNUMBER(SEARCH("FINALIZADA",UPPER(D329))),ISNUMBER(SEARCH("MIGRADA",UPPER(D329)))),"✅ Concluído",
"A Verificar")))))))</f>
        <v>🔴 Infraestrutura (Telebras)</v>
      </c>
      <c r="F329" s="10">
        <v>45817</v>
      </c>
      <c r="G329" s="11" t="s">
        <v>866</v>
      </c>
      <c r="H329" s="11" t="str">
        <f t="shared" ref="H329:H330" si="27">IF(G329="","",IF(AND(OR(ISNUMBER(SEARCH("TELEBRAS",UPPER(G329))),ISNUMBER(SEARCH("TLB",UPPER(G329))),ISNUMBER(SEARCH("LINK",UPPER(G329))),ISNUMBER(SEARCH("ROTA",UPPER(G329))),ISNUMBER(SEARCH("ENERGIA",UPPER(G329)))),OR(ISNUMBER(SEARCH("MVC",UPPER(G329))),ISNUMBER(SEARCH("FOTOS",UPPER(G329))),ISNUMBER(SEARCH("DOC",UPPER(G329))),ISNUMBER(SEARCH("TERMO",UPPER(G329))),ISNUMBER(SEARCH("CORREÇÃO",UPPER(G329))),ISNUMBER(SEARCH("CORRECAO",UPPER(G329))))),"🔴🟠 Misto (Telebras + MVC)",
 IF(OR(ISNUMBER(SEARCH("TELEBRAS",UPPER(G329))),ISNUMBER(SEARCH("TLB",UPPER(G329))),ISNUMBER(SEARCH("LINK",UPPER(G329))),ISNUMBER(SEARCH("ROTA",UPPER(G329))),ISNUMBER(SEARCH("ENERGIA",UPPER(G329)))),"🔴 Infraestrutura (Telebras)",
 IF(OR(ISNUMBER(SEARCH("MVC",UPPER(G329))),ISNUMBER(SEARCH("FOTOS",UPPER(G329))),ISNUMBER(SEARCH("DOC",UPPER(G329))),ISNUMBER(SEARCH("TERMO",UPPER(G329))),ISNUMBER(SEARCH("CORREÇÃO",UPPER(G329))),ISNUMBER(SEARCH("CORRECAO",UPPER(G329)))),"🟠 Pendência Operacional (MVC)",
 IF(OR(ISNUMBER(SEARCH("FECHADO",UPPER(G329))),ISNUMBER(SEARCH("HORÁRIO",UPPER(G329))),ISNUMBER(SEARCH("TARDE",UPPER(G329))),ISNUMBER(SEARCH("CORREIOS",UPPER(G329))),ISNUMBER(SEARCH("MATERIAL",UPPER(G329))),ISNUMBER(SEARCH("REAGENDADA",UPPER(G329))),ISNUMBER(SEARCH("REAGENDADO",UPPER(G329))),ISNUMBER(SEARCH("ALLTECH",UPPER(G329))),ISNUMBER(SEARCH("MA",UPPER(G329))),ISNUMBER(SEARCH("SEFAZ",UPPER(G329)))),"🟡 Acesso / MA / Logística",
 IF(OR(ISNUMBER(SEARCH("FINALIZADO",UPPER(G329))),ISNUMBER(SEARCH("FINALIZADA",UPPER(G329))),ISNUMBER(SEARCH("MIGRADA",UPPER(G329)))),"✅ Concluído",
 "Outros / A Verificar"))))))</f>
        <v>🟡 Acesso / MA / Logística</v>
      </c>
      <c r="I329" s="10">
        <v>45821</v>
      </c>
      <c r="J329" s="11" t="s">
        <v>15</v>
      </c>
      <c r="K329" s="11" t="str">
        <f t="shared" si="25"/>
        <v>✅ Concluído</v>
      </c>
      <c r="L329" s="11"/>
      <c r="M329" s="11"/>
    </row>
    <row r="330" spans="1:13" ht="24" hidden="1" x14ac:dyDescent="0.25">
      <c r="A330" s="6" t="s">
        <v>704</v>
      </c>
      <c r="B330" s="7" t="s">
        <v>705</v>
      </c>
      <c r="C330" s="8">
        <v>45884</v>
      </c>
      <c r="D330" s="11" t="s">
        <v>706</v>
      </c>
      <c r="E330" s="9" t="str">
        <f t="shared" si="26"/>
        <v>🟠 Pendência Operacional (MVC)</v>
      </c>
      <c r="F330" s="10">
        <v>45905</v>
      </c>
      <c r="G330" s="11" t="s">
        <v>15</v>
      </c>
      <c r="H330" s="11" t="str">
        <f t="shared" si="27"/>
        <v>✅ Concluído</v>
      </c>
      <c r="I330" s="10"/>
      <c r="J330" s="11"/>
      <c r="K330" s="11" t="str">
        <f t="shared" si="25"/>
        <v/>
      </c>
      <c r="L330" s="11"/>
      <c r="M330" s="11"/>
    </row>
    <row r="331" spans="1:13" hidden="1" x14ac:dyDescent="0.25">
      <c r="A331" s="6" t="s">
        <v>707</v>
      </c>
      <c r="B331" s="7" t="s">
        <v>708</v>
      </c>
      <c r="C331" s="8">
        <v>45811</v>
      </c>
      <c r="D331" s="11" t="s">
        <v>15</v>
      </c>
      <c r="E331" s="9" t="str">
        <f t="shared" si="26"/>
        <v>✅ Concluído</v>
      </c>
      <c r="F331" s="10"/>
      <c r="G331" s="11"/>
      <c r="H331" s="11" t="str">
        <f t="shared" si="24"/>
        <v/>
      </c>
      <c r="I331" s="10"/>
      <c r="J331" s="11"/>
      <c r="K331" s="11" t="str">
        <f t="shared" si="25"/>
        <v/>
      </c>
      <c r="L331" s="11"/>
      <c r="M331" s="11"/>
    </row>
    <row r="332" spans="1:13" hidden="1" x14ac:dyDescent="0.25">
      <c r="A332" s="6" t="s">
        <v>709</v>
      </c>
      <c r="B332" s="7" t="s">
        <v>710</v>
      </c>
      <c r="C332" s="8">
        <v>45903</v>
      </c>
      <c r="D332" s="11" t="s">
        <v>650</v>
      </c>
      <c r="E332" s="9" t="str">
        <f t="shared" si="26"/>
        <v>🔴 Infraestrutura (Telebras)</v>
      </c>
      <c r="F332" s="10"/>
      <c r="G332" s="11"/>
      <c r="H332" s="11" t="str">
        <f t="shared" si="24"/>
        <v/>
      </c>
      <c r="I332" s="10"/>
      <c r="J332" s="11"/>
      <c r="K332" s="11" t="str">
        <f t="shared" si="25"/>
        <v/>
      </c>
      <c r="L332" s="11"/>
      <c r="M332" s="11"/>
    </row>
    <row r="333" spans="1:13" hidden="1" x14ac:dyDescent="0.25">
      <c r="A333" s="6" t="s">
        <v>711</v>
      </c>
      <c r="B333" s="7" t="s">
        <v>712</v>
      </c>
      <c r="C333" s="8">
        <v>45887</v>
      </c>
      <c r="D333" s="9" t="s">
        <v>863</v>
      </c>
      <c r="E333" s="9" t="str">
        <f t="shared" si="26"/>
        <v>CANCELADO</v>
      </c>
      <c r="F333" s="10"/>
      <c r="G333" s="11"/>
      <c r="H333" s="11" t="str">
        <f t="shared" si="24"/>
        <v/>
      </c>
      <c r="I333" s="10"/>
      <c r="J333" s="11"/>
      <c r="K333" s="11" t="str">
        <f t="shared" si="25"/>
        <v/>
      </c>
      <c r="L333" s="11"/>
      <c r="M333" s="11"/>
    </row>
    <row r="334" spans="1:13" hidden="1" x14ac:dyDescent="0.25">
      <c r="A334" s="6" t="s">
        <v>713</v>
      </c>
      <c r="B334" s="7" t="s">
        <v>714</v>
      </c>
      <c r="C334" s="8">
        <v>45908</v>
      </c>
      <c r="D334" s="11" t="s">
        <v>15</v>
      </c>
      <c r="E334" s="9" t="str">
        <f t="shared" si="26"/>
        <v>✅ Concluído</v>
      </c>
      <c r="F334" s="10"/>
      <c r="G334" s="11"/>
      <c r="H334" s="11" t="str">
        <f t="shared" si="24"/>
        <v/>
      </c>
      <c r="I334" s="10"/>
      <c r="J334" s="11"/>
      <c r="K334" s="11" t="str">
        <f t="shared" si="25"/>
        <v/>
      </c>
      <c r="L334" s="11"/>
      <c r="M334" s="11"/>
    </row>
    <row r="335" spans="1:13" hidden="1" x14ac:dyDescent="0.25">
      <c r="A335" s="6" t="s">
        <v>715</v>
      </c>
      <c r="B335" s="7" t="s">
        <v>716</v>
      </c>
      <c r="C335" s="8">
        <v>45805</v>
      </c>
      <c r="D335" s="11" t="s">
        <v>15</v>
      </c>
      <c r="E335" s="9" t="str">
        <f t="shared" si="26"/>
        <v>✅ Concluído</v>
      </c>
      <c r="F335" s="10"/>
      <c r="G335" s="11"/>
      <c r="H335" s="11" t="str">
        <f t="shared" si="24"/>
        <v/>
      </c>
      <c r="I335" s="10"/>
      <c r="J335" s="11"/>
      <c r="K335" s="11" t="str">
        <f t="shared" si="25"/>
        <v/>
      </c>
      <c r="L335" s="11"/>
      <c r="M335" s="11"/>
    </row>
    <row r="336" spans="1:13" hidden="1" x14ac:dyDescent="0.25">
      <c r="A336" s="6" t="s">
        <v>717</v>
      </c>
      <c r="B336" s="7" t="s">
        <v>718</v>
      </c>
      <c r="C336" s="8">
        <v>45803</v>
      </c>
      <c r="D336" s="11" t="s">
        <v>15</v>
      </c>
      <c r="E336" s="9" t="str">
        <f t="shared" si="26"/>
        <v>✅ Concluído</v>
      </c>
      <c r="F336" s="10"/>
      <c r="G336" s="11"/>
      <c r="H336" s="11" t="str">
        <f t="shared" si="24"/>
        <v/>
      </c>
      <c r="I336" s="10"/>
      <c r="J336" s="11"/>
      <c r="K336" s="11" t="str">
        <f t="shared" si="25"/>
        <v/>
      </c>
      <c r="L336" s="11"/>
      <c r="M336" s="11"/>
    </row>
    <row r="337" spans="1:13" hidden="1" x14ac:dyDescent="0.25">
      <c r="A337" s="6" t="s">
        <v>719</v>
      </c>
      <c r="B337" s="7" t="s">
        <v>720</v>
      </c>
      <c r="C337" s="8">
        <v>45904</v>
      </c>
      <c r="D337" s="11" t="s">
        <v>15</v>
      </c>
      <c r="E337" s="9" t="str">
        <f t="shared" si="26"/>
        <v>✅ Concluído</v>
      </c>
      <c r="F337" s="10"/>
      <c r="G337" s="11"/>
      <c r="H337" s="11" t="str">
        <f t="shared" si="24"/>
        <v/>
      </c>
      <c r="I337" s="10"/>
      <c r="J337" s="11"/>
      <c r="K337" s="11" t="str">
        <f t="shared" si="25"/>
        <v/>
      </c>
      <c r="L337" s="11"/>
      <c r="M337" s="11"/>
    </row>
    <row r="338" spans="1:13" hidden="1" x14ac:dyDescent="0.25">
      <c r="A338" s="6" t="s">
        <v>721</v>
      </c>
      <c r="B338" s="7" t="s">
        <v>722</v>
      </c>
      <c r="C338" s="8">
        <v>45818</v>
      </c>
      <c r="D338" s="11" t="s">
        <v>15</v>
      </c>
      <c r="E338" s="9" t="str">
        <f t="shared" si="26"/>
        <v>✅ Concluído</v>
      </c>
      <c r="F338" s="10"/>
      <c r="G338" s="11"/>
      <c r="H338" s="11" t="str">
        <f t="shared" si="24"/>
        <v/>
      </c>
      <c r="I338" s="10"/>
      <c r="J338" s="11"/>
      <c r="K338" s="11" t="str">
        <f t="shared" si="25"/>
        <v/>
      </c>
      <c r="L338" s="11"/>
      <c r="M338" s="11"/>
    </row>
    <row r="339" spans="1:13" hidden="1" x14ac:dyDescent="0.25">
      <c r="A339" s="6" t="s">
        <v>723</v>
      </c>
      <c r="B339" s="7" t="s">
        <v>724</v>
      </c>
      <c r="C339" s="8">
        <v>45910</v>
      </c>
      <c r="D339" s="11" t="s">
        <v>650</v>
      </c>
      <c r="E339" s="9" t="str">
        <f t="shared" si="26"/>
        <v>🔴 Infraestrutura (Telebras)</v>
      </c>
      <c r="F339" s="10"/>
      <c r="G339" s="11"/>
      <c r="H339" s="11" t="str">
        <f t="shared" si="24"/>
        <v/>
      </c>
      <c r="I339" s="10"/>
      <c r="J339" s="11"/>
      <c r="K339" s="11" t="str">
        <f t="shared" si="25"/>
        <v/>
      </c>
      <c r="L339" s="11"/>
      <c r="M339" s="11"/>
    </row>
    <row r="340" spans="1:13" hidden="1" x14ac:dyDescent="0.25">
      <c r="A340" s="6" t="s">
        <v>725</v>
      </c>
      <c r="B340" s="7" t="s">
        <v>726</v>
      </c>
      <c r="C340" s="8">
        <v>45884</v>
      </c>
      <c r="D340" s="11" t="s">
        <v>882</v>
      </c>
      <c r="E340" s="9" t="str">
        <f t="shared" si="26"/>
        <v>🔴🟠 Misto (Telebras + MVC)</v>
      </c>
      <c r="F340" s="10">
        <v>45972</v>
      </c>
      <c r="G340" s="11" t="s">
        <v>31</v>
      </c>
      <c r="H340" s="11" t="str">
        <f>IF(G340="","",IF(AND(OR(ISNUMBER(SEARCH("TELEBRAS",UPPER(G340))),ISNUMBER(SEARCH("TLB",UPPER(G340))),ISNUMBER(SEARCH("LINK",UPPER(G340))),ISNUMBER(SEARCH("ROTA",UPPER(G340))),ISNUMBER(SEARCH("ENERGIA",UPPER(G340)))),OR(ISNUMBER(SEARCH("MVC",UPPER(G340))),ISNUMBER(SEARCH("FOTOS",UPPER(G340))),ISNUMBER(SEARCH("DOC",UPPER(G340))),ISNUMBER(SEARCH("TERMO",UPPER(G340))),ISNUMBER(SEARCH("CORREÇÃO",UPPER(G340))),ISNUMBER(SEARCH("CORRECAO",UPPER(G340))))),"🔴🟠 Misto (Telebras + MVC)",
 IF(OR(ISNUMBER(SEARCH("TELEBRAS",UPPER(G340))),ISNUMBER(SEARCH("TLB",UPPER(G340))),ISNUMBER(SEARCH("LINK",UPPER(G340))),ISNUMBER(SEARCH("ROTA",UPPER(G340))),ISNUMBER(SEARCH("ENERGIA",UPPER(G340)))),"🔴 Infraestrutura (Telebras)",
 IF(OR(ISNUMBER(SEARCH("MVC",UPPER(G340))),ISNUMBER(SEARCH("FOTOS",UPPER(G340))),ISNUMBER(SEARCH("DOC",UPPER(G340))),ISNUMBER(SEARCH("TERMO",UPPER(G340))),ISNUMBER(SEARCH("CORREÇÃO",UPPER(G340))),ISNUMBER(SEARCH("CORRECAO",UPPER(G340)))),"🟠 Pendência Operacional (MVC)",
 IF(OR(ISNUMBER(SEARCH("FECHADO",UPPER(G340))),ISNUMBER(SEARCH("HORÁRIO",UPPER(G340))),ISNUMBER(SEARCH("TARDE",UPPER(G340))),ISNUMBER(SEARCH("CORREIOS",UPPER(G340))),ISNUMBER(SEARCH("MATERIAL",UPPER(G340))),ISNUMBER(SEARCH("REAGENDADA",UPPER(G340))),ISNUMBER(SEARCH("REAGENDADO",UPPER(G340))),ISNUMBER(SEARCH("ALLTECH",UPPER(G340))),ISNUMBER(SEARCH("MA",UPPER(G340))),ISNUMBER(SEARCH("SEFAZ",UPPER(G340)))),"🟡 Acesso / MA / Logística",
 IF(OR(ISNUMBER(SEARCH("FINALIZADO",UPPER(G340))),ISNUMBER(SEARCH("FINALIZADA",UPPER(G340))),ISNUMBER(SEARCH("MIGRADA",UPPER(G340)))),"✅ Concluído",
 "Outros / A Verificar"))))))</f>
        <v>🟠 Pendência Operacional (MVC)</v>
      </c>
      <c r="I340" s="10"/>
      <c r="J340" s="11"/>
      <c r="K340" s="11" t="str">
        <f t="shared" si="25"/>
        <v/>
      </c>
      <c r="L340" s="11"/>
      <c r="M340" s="11"/>
    </row>
    <row r="341" spans="1:13" hidden="1" x14ac:dyDescent="0.25">
      <c r="A341" s="6" t="s">
        <v>727</v>
      </c>
      <c r="B341" s="7" t="s">
        <v>728</v>
      </c>
      <c r="C341" s="8">
        <v>45806</v>
      </c>
      <c r="D341" s="11" t="s">
        <v>15</v>
      </c>
      <c r="E341" s="9" t="str">
        <f t="shared" si="26"/>
        <v>✅ Concluído</v>
      </c>
      <c r="F341" s="10"/>
      <c r="G341" s="11"/>
      <c r="H341" s="11" t="str">
        <f t="shared" si="24"/>
        <v/>
      </c>
      <c r="I341" s="10"/>
      <c r="J341" s="11"/>
      <c r="K341" s="11" t="str">
        <f t="shared" si="25"/>
        <v/>
      </c>
      <c r="L341" s="11"/>
      <c r="M341" s="11"/>
    </row>
    <row r="342" spans="1:13" ht="24" hidden="1" x14ac:dyDescent="0.25">
      <c r="A342" s="6" t="s">
        <v>729</v>
      </c>
      <c r="B342" s="7" t="s">
        <v>730</v>
      </c>
      <c r="C342" s="8">
        <v>45916</v>
      </c>
      <c r="D342" s="11" t="s">
        <v>877</v>
      </c>
      <c r="E342" s="9" t="str">
        <f t="shared" si="26"/>
        <v>🟠 Pendência Operacional (MVC)</v>
      </c>
      <c r="F342" s="10"/>
      <c r="G342" s="11"/>
      <c r="H342" s="11" t="str">
        <f t="shared" si="24"/>
        <v/>
      </c>
      <c r="I342" s="10"/>
      <c r="J342" s="11"/>
      <c r="K342" s="11" t="str">
        <f t="shared" si="25"/>
        <v/>
      </c>
      <c r="L342" s="11"/>
      <c r="M342" s="11"/>
    </row>
    <row r="343" spans="1:13" hidden="1" x14ac:dyDescent="0.25">
      <c r="A343" s="6" t="s">
        <v>731</v>
      </c>
      <c r="B343" s="7" t="s">
        <v>732</v>
      </c>
      <c r="C343" s="8">
        <v>45883</v>
      </c>
      <c r="D343" s="11" t="s">
        <v>650</v>
      </c>
      <c r="E343" s="9" t="str">
        <f t="shared" si="26"/>
        <v>🔴 Infraestrutura (Telebras)</v>
      </c>
      <c r="F343" s="10">
        <v>45912</v>
      </c>
      <c r="G343" s="11" t="s">
        <v>15</v>
      </c>
      <c r="H343" s="11" t="str">
        <f>IF(G343="","",IF(AND(OR(ISNUMBER(SEARCH("TELEBRAS",UPPER(G343))),ISNUMBER(SEARCH("TLB",UPPER(G343))),ISNUMBER(SEARCH("LINK",UPPER(G343))),ISNUMBER(SEARCH("ROTA",UPPER(G343))),ISNUMBER(SEARCH("ENERGIA",UPPER(G343)))),OR(ISNUMBER(SEARCH("MVC",UPPER(G343))),ISNUMBER(SEARCH("FOTOS",UPPER(G343))),ISNUMBER(SEARCH("DOC",UPPER(G343))),ISNUMBER(SEARCH("TERMO",UPPER(G343))),ISNUMBER(SEARCH("CORREÇÃO",UPPER(G343))),ISNUMBER(SEARCH("CORRECAO",UPPER(G343))))),"🔴🟠 Misto (Telebras + MVC)",
 IF(OR(ISNUMBER(SEARCH("TELEBRAS",UPPER(G343))),ISNUMBER(SEARCH("TLB",UPPER(G343))),ISNUMBER(SEARCH("LINK",UPPER(G343))),ISNUMBER(SEARCH("ROTA",UPPER(G343))),ISNUMBER(SEARCH("ENERGIA",UPPER(G343)))),"🔴 Infraestrutura (Telebras)",
 IF(OR(ISNUMBER(SEARCH("MVC",UPPER(G343))),ISNUMBER(SEARCH("FOTOS",UPPER(G343))),ISNUMBER(SEARCH("DOC",UPPER(G343))),ISNUMBER(SEARCH("TERMO",UPPER(G343))),ISNUMBER(SEARCH("CORREÇÃO",UPPER(G343))),ISNUMBER(SEARCH("CORRECAO",UPPER(G343)))),"🟠 Pendência Operacional (MVC)",
 IF(OR(ISNUMBER(SEARCH("FECHADO",UPPER(G343))),ISNUMBER(SEARCH("HORÁRIO",UPPER(G343))),ISNUMBER(SEARCH("TARDE",UPPER(G343))),ISNUMBER(SEARCH("CORREIOS",UPPER(G343))),ISNUMBER(SEARCH("MATERIAL",UPPER(G343))),ISNUMBER(SEARCH("REAGENDADA",UPPER(G343))),ISNUMBER(SEARCH("REAGENDADO",UPPER(G343))),ISNUMBER(SEARCH("ALLTECH",UPPER(G343))),ISNUMBER(SEARCH("MA",UPPER(G343))),ISNUMBER(SEARCH("SEFAZ",UPPER(G343)))),"🟡 Acesso / MA / Logística",
 IF(OR(ISNUMBER(SEARCH("FINALIZADO",UPPER(G343))),ISNUMBER(SEARCH("FINALIZADA",UPPER(G343))),ISNUMBER(SEARCH("MIGRADA",UPPER(G343)))),"✅ Concluído",
 "Outros / A Verificar"))))))</f>
        <v>✅ Concluído</v>
      </c>
      <c r="I343" s="10"/>
      <c r="J343" s="11"/>
      <c r="K343" s="11" t="str">
        <f t="shared" si="25"/>
        <v/>
      </c>
      <c r="L343" s="11"/>
      <c r="M343" s="11"/>
    </row>
    <row r="344" spans="1:13" hidden="1" x14ac:dyDescent="0.25">
      <c r="A344" s="6" t="s">
        <v>733</v>
      </c>
      <c r="B344" s="7" t="s">
        <v>734</v>
      </c>
      <c r="C344" s="8">
        <v>45868</v>
      </c>
      <c r="D344" s="11" t="s">
        <v>15</v>
      </c>
      <c r="E344" s="9" t="str">
        <f t="shared" si="26"/>
        <v>✅ Concluído</v>
      </c>
      <c r="F344" s="10"/>
      <c r="G344" s="11"/>
      <c r="H344" s="11" t="str">
        <f t="shared" si="24"/>
        <v/>
      </c>
      <c r="I344" s="10"/>
      <c r="J344" s="11"/>
      <c r="K344" s="11" t="str">
        <f t="shared" si="25"/>
        <v/>
      </c>
      <c r="L344" s="11"/>
      <c r="M344" s="11"/>
    </row>
    <row r="345" spans="1:13" hidden="1" x14ac:dyDescent="0.25">
      <c r="A345" s="6" t="s">
        <v>735</v>
      </c>
      <c r="B345" s="7" t="s">
        <v>736</v>
      </c>
      <c r="C345" s="8">
        <v>45891</v>
      </c>
      <c r="D345" s="11" t="s">
        <v>15</v>
      </c>
      <c r="E345" s="9" t="str">
        <f t="shared" si="26"/>
        <v>✅ Concluído</v>
      </c>
      <c r="F345" s="10"/>
      <c r="G345" s="11"/>
      <c r="H345" s="11" t="str">
        <f t="shared" si="24"/>
        <v/>
      </c>
      <c r="I345" s="10"/>
      <c r="J345" s="11"/>
      <c r="K345" s="11" t="str">
        <f t="shared" si="25"/>
        <v/>
      </c>
      <c r="L345" s="11"/>
      <c r="M345" s="11"/>
    </row>
    <row r="346" spans="1:13" hidden="1" x14ac:dyDescent="0.25">
      <c r="A346" s="6" t="s">
        <v>737</v>
      </c>
      <c r="B346" s="7" t="s">
        <v>738</v>
      </c>
      <c r="C346" s="8">
        <v>45833</v>
      </c>
      <c r="D346" s="11" t="s">
        <v>739</v>
      </c>
      <c r="E346" s="9" t="str">
        <f t="shared" si="26"/>
        <v>🔴 Infraestrutura (Telebras)</v>
      </c>
      <c r="F346" s="10"/>
      <c r="G346" s="11"/>
      <c r="H346" s="11" t="str">
        <f t="shared" si="24"/>
        <v/>
      </c>
      <c r="I346" s="10"/>
      <c r="J346" s="11"/>
      <c r="K346" s="11" t="str">
        <f t="shared" si="25"/>
        <v/>
      </c>
      <c r="L346" s="11"/>
      <c r="M346" s="11"/>
    </row>
    <row r="347" spans="1:13" hidden="1" x14ac:dyDescent="0.25">
      <c r="A347" s="6" t="s">
        <v>740</v>
      </c>
      <c r="B347" s="7" t="s">
        <v>741</v>
      </c>
      <c r="C347" s="8">
        <v>45887</v>
      </c>
      <c r="D347" s="9" t="s">
        <v>863</v>
      </c>
      <c r="E347" s="9" t="str">
        <f t="shared" si="26"/>
        <v>CANCELADO</v>
      </c>
      <c r="F347" s="10"/>
      <c r="G347" s="11"/>
      <c r="H347" s="11" t="str">
        <f t="shared" si="24"/>
        <v/>
      </c>
      <c r="I347" s="10"/>
      <c r="J347" s="11"/>
      <c r="K347" s="11" t="str">
        <f t="shared" si="25"/>
        <v/>
      </c>
      <c r="L347" s="11"/>
      <c r="M347" s="11"/>
    </row>
    <row r="348" spans="1:13" ht="24" hidden="1" x14ac:dyDescent="0.25">
      <c r="A348" s="6" t="s">
        <v>742</v>
      </c>
      <c r="B348" s="7" t="s">
        <v>743</v>
      </c>
      <c r="C348" s="8">
        <v>45805</v>
      </c>
      <c r="D348" s="11" t="s">
        <v>839</v>
      </c>
      <c r="E348" s="9" t="str">
        <f t="shared" si="26"/>
        <v>🟠 Pendência Operacional (MVC)</v>
      </c>
      <c r="F348" s="10">
        <v>45813</v>
      </c>
      <c r="G348" s="11" t="s">
        <v>15</v>
      </c>
      <c r="H348" s="11" t="str">
        <f>IF(G348="","",IF(AND(OR(ISNUMBER(SEARCH("TELEBRAS",UPPER(G348))),ISNUMBER(SEARCH("TLB",UPPER(G348))),ISNUMBER(SEARCH("LINK",UPPER(G348))),ISNUMBER(SEARCH("ROTA",UPPER(G348))),ISNUMBER(SEARCH("ENERGIA",UPPER(G348)))),OR(ISNUMBER(SEARCH("MVC",UPPER(G348))),ISNUMBER(SEARCH("FOTOS",UPPER(G348))),ISNUMBER(SEARCH("DOC",UPPER(G348))),ISNUMBER(SEARCH("TERMO",UPPER(G348))),ISNUMBER(SEARCH("CORREÇÃO",UPPER(G348))),ISNUMBER(SEARCH("CORRECAO",UPPER(G348))))),"🔴🟠 Misto (Telebras + MVC)",
 IF(OR(ISNUMBER(SEARCH("TELEBRAS",UPPER(G348))),ISNUMBER(SEARCH("TLB",UPPER(G348))),ISNUMBER(SEARCH("LINK",UPPER(G348))),ISNUMBER(SEARCH("ROTA",UPPER(G348))),ISNUMBER(SEARCH("ENERGIA",UPPER(G348)))),"🔴 Infraestrutura (Telebras)",
 IF(OR(ISNUMBER(SEARCH("MVC",UPPER(G348))),ISNUMBER(SEARCH("FOTOS",UPPER(G348))),ISNUMBER(SEARCH("DOC",UPPER(G348))),ISNUMBER(SEARCH("TERMO",UPPER(G348))),ISNUMBER(SEARCH("CORREÇÃO",UPPER(G348))),ISNUMBER(SEARCH("CORRECAO",UPPER(G348)))),"🟠 Pendência Operacional (MVC)",
 IF(OR(ISNUMBER(SEARCH("FECHADO",UPPER(G348))),ISNUMBER(SEARCH("HORÁRIO",UPPER(G348))),ISNUMBER(SEARCH("TARDE",UPPER(G348))),ISNUMBER(SEARCH("CORREIOS",UPPER(G348))),ISNUMBER(SEARCH("MATERIAL",UPPER(G348))),ISNUMBER(SEARCH("REAGENDADA",UPPER(G348))),ISNUMBER(SEARCH("REAGENDADO",UPPER(G348))),ISNUMBER(SEARCH("ALLTECH",UPPER(G348))),ISNUMBER(SEARCH("MA",UPPER(G348))),ISNUMBER(SEARCH("SEFAZ",UPPER(G348)))),"🟡 Acesso / MA / Logística",
 IF(OR(ISNUMBER(SEARCH("FINALIZADO",UPPER(G348))),ISNUMBER(SEARCH("FINALIZADA",UPPER(G348))),ISNUMBER(SEARCH("MIGRADA",UPPER(G348)))),"✅ Concluído",
 "Outros / A Verificar"))))))</f>
        <v>✅ Concluído</v>
      </c>
      <c r="I348" s="10"/>
      <c r="J348" s="11"/>
      <c r="K348" s="11" t="str">
        <f t="shared" si="25"/>
        <v/>
      </c>
      <c r="L348" s="11"/>
      <c r="M348" s="11"/>
    </row>
    <row r="349" spans="1:13" ht="60" hidden="1" x14ac:dyDescent="0.25">
      <c r="A349" s="6" t="s">
        <v>744</v>
      </c>
      <c r="B349" s="7" t="s">
        <v>745</v>
      </c>
      <c r="C349" s="8">
        <v>45932</v>
      </c>
      <c r="D349" s="11" t="s">
        <v>746</v>
      </c>
      <c r="E349" s="9" t="str">
        <f t="shared" si="26"/>
        <v>🔴 Infraestrutura (Telebras)</v>
      </c>
      <c r="F349" s="10"/>
      <c r="G349" s="11"/>
      <c r="H349" s="11" t="str">
        <f t="shared" si="24"/>
        <v/>
      </c>
      <c r="I349" s="10"/>
      <c r="J349" s="11"/>
      <c r="K349" s="11" t="str">
        <f t="shared" si="25"/>
        <v/>
      </c>
      <c r="L349" s="11"/>
      <c r="M349" s="11"/>
    </row>
    <row r="350" spans="1:13" ht="24" hidden="1" x14ac:dyDescent="0.25">
      <c r="A350" s="6" t="s">
        <v>747</v>
      </c>
      <c r="B350" s="7" t="s">
        <v>748</v>
      </c>
      <c r="C350" s="8">
        <v>45989</v>
      </c>
      <c r="D350" s="9" t="s">
        <v>890</v>
      </c>
      <c r="E350" s="9" t="str">
        <f t="shared" si="26"/>
        <v>✅ Concluído</v>
      </c>
      <c r="F350" s="10"/>
      <c r="G350" s="11"/>
      <c r="H350" s="11" t="str">
        <f t="shared" si="24"/>
        <v/>
      </c>
      <c r="I350" s="10"/>
      <c r="J350" s="11"/>
      <c r="K350" s="11" t="str">
        <f t="shared" si="25"/>
        <v/>
      </c>
      <c r="L350" s="11"/>
      <c r="M350" s="11"/>
    </row>
    <row r="351" spans="1:13" ht="144" hidden="1" x14ac:dyDescent="0.25">
      <c r="A351" s="6" t="s">
        <v>749</v>
      </c>
      <c r="B351" s="7" t="s">
        <v>750</v>
      </c>
      <c r="C351" s="8">
        <v>45888</v>
      </c>
      <c r="D351" s="11" t="s">
        <v>852</v>
      </c>
      <c r="E351" s="9" t="str">
        <f t="shared" si="26"/>
        <v>🔴 Infraestrutura (Telebras)</v>
      </c>
      <c r="F351" s="10"/>
      <c r="G351" s="11"/>
      <c r="H351" s="11" t="str">
        <f t="shared" si="24"/>
        <v/>
      </c>
      <c r="I351" s="10"/>
      <c r="J351" s="11"/>
      <c r="K351" s="11" t="str">
        <f t="shared" si="25"/>
        <v/>
      </c>
      <c r="L351" s="11"/>
      <c r="M351" s="11"/>
    </row>
    <row r="352" spans="1:13" hidden="1" x14ac:dyDescent="0.25">
      <c r="A352" s="6" t="s">
        <v>751</v>
      </c>
      <c r="B352" s="7" t="s">
        <v>752</v>
      </c>
      <c r="C352" s="8">
        <v>45901</v>
      </c>
      <c r="D352" s="11" t="s">
        <v>650</v>
      </c>
      <c r="E352" s="9" t="str">
        <f t="shared" si="26"/>
        <v>🔴 Infraestrutura (Telebras)</v>
      </c>
      <c r="F352" s="10"/>
      <c r="G352" s="11"/>
      <c r="H352" s="11" t="str">
        <f t="shared" si="24"/>
        <v/>
      </c>
      <c r="I352" s="10"/>
      <c r="J352" s="11"/>
      <c r="K352" s="11" t="str">
        <f t="shared" si="25"/>
        <v/>
      </c>
      <c r="L352" s="11"/>
      <c r="M352" s="11"/>
    </row>
    <row r="353" spans="1:13" hidden="1" x14ac:dyDescent="0.25">
      <c r="A353" s="6" t="s">
        <v>753</v>
      </c>
      <c r="B353" s="7" t="s">
        <v>754</v>
      </c>
      <c r="C353" s="8">
        <v>45896</v>
      </c>
      <c r="D353" s="11" t="s">
        <v>14</v>
      </c>
      <c r="E353" s="9" t="str">
        <f t="shared" si="26"/>
        <v>🟠 Pendência Operacional (MVC)</v>
      </c>
      <c r="F353" s="10">
        <v>45966</v>
      </c>
      <c r="G353" s="11" t="s">
        <v>15</v>
      </c>
      <c r="H353" s="11" t="str">
        <f>IF(G353="","",IF(AND(OR(ISNUMBER(SEARCH("TELEBRAS",UPPER(G353))),ISNUMBER(SEARCH("TLB",UPPER(G353))),ISNUMBER(SEARCH("LINK",UPPER(G353))),ISNUMBER(SEARCH("ROTA",UPPER(G353))),ISNUMBER(SEARCH("ENERGIA",UPPER(G353)))),OR(ISNUMBER(SEARCH("MVC",UPPER(G353))),ISNUMBER(SEARCH("FOTOS",UPPER(G353))),ISNUMBER(SEARCH("DOC",UPPER(G353))),ISNUMBER(SEARCH("TERMO",UPPER(G353))),ISNUMBER(SEARCH("CORREÇÃO",UPPER(G353))),ISNUMBER(SEARCH("CORRECAO",UPPER(G353))))),"🔴🟠 Misto (Telebras + MVC)",
 IF(OR(ISNUMBER(SEARCH("TELEBRAS",UPPER(G353))),ISNUMBER(SEARCH("TLB",UPPER(G353))),ISNUMBER(SEARCH("LINK",UPPER(G353))),ISNUMBER(SEARCH("ROTA",UPPER(G353))),ISNUMBER(SEARCH("ENERGIA",UPPER(G353)))),"🔴 Infraestrutura (Telebras)",
 IF(OR(ISNUMBER(SEARCH("MVC",UPPER(G353))),ISNUMBER(SEARCH("FOTOS",UPPER(G353))),ISNUMBER(SEARCH("DOC",UPPER(G353))),ISNUMBER(SEARCH("TERMO",UPPER(G353))),ISNUMBER(SEARCH("CORREÇÃO",UPPER(G353))),ISNUMBER(SEARCH("CORRECAO",UPPER(G353)))),"🟠 Pendência Operacional (MVC)",
 IF(OR(ISNUMBER(SEARCH("FECHADO",UPPER(G353))),ISNUMBER(SEARCH("HORÁRIO",UPPER(G353))),ISNUMBER(SEARCH("TARDE",UPPER(G353))),ISNUMBER(SEARCH("CORREIOS",UPPER(G353))),ISNUMBER(SEARCH("MATERIAL",UPPER(G353))),ISNUMBER(SEARCH("REAGENDADA",UPPER(G353))),ISNUMBER(SEARCH("REAGENDADO",UPPER(G353))),ISNUMBER(SEARCH("ALLTECH",UPPER(G353))),ISNUMBER(SEARCH("MA",UPPER(G353))),ISNUMBER(SEARCH("SEFAZ",UPPER(G353)))),"🟡 Acesso / MA / Logística",
 IF(OR(ISNUMBER(SEARCH("FINALIZADO",UPPER(G353))),ISNUMBER(SEARCH("FINALIZADA",UPPER(G353))),ISNUMBER(SEARCH("MIGRADA",UPPER(G353)))),"✅ Concluído",
 "Outros / A Verificar"))))))</f>
        <v>✅ Concluído</v>
      </c>
      <c r="I353" s="10"/>
      <c r="J353" s="11"/>
      <c r="K353" s="11" t="str">
        <f t="shared" si="25"/>
        <v/>
      </c>
      <c r="L353" s="11"/>
      <c r="M353" s="11"/>
    </row>
    <row r="354" spans="1:13" hidden="1" x14ac:dyDescent="0.25">
      <c r="A354" s="6" t="s">
        <v>755</v>
      </c>
      <c r="B354" s="7" t="s">
        <v>756</v>
      </c>
      <c r="C354" s="8">
        <v>45890</v>
      </c>
      <c r="D354" s="11" t="s">
        <v>15</v>
      </c>
      <c r="E354" s="9" t="str">
        <f t="shared" si="26"/>
        <v>✅ Concluído</v>
      </c>
      <c r="F354" s="10"/>
      <c r="G354" s="11"/>
      <c r="H354" s="11" t="str">
        <f t="shared" si="24"/>
        <v/>
      </c>
      <c r="I354" s="10"/>
      <c r="J354" s="11"/>
      <c r="K354" s="11" t="str">
        <f t="shared" si="25"/>
        <v/>
      </c>
      <c r="L354" s="11"/>
      <c r="M354" s="11"/>
    </row>
    <row r="355" spans="1:13" ht="24" hidden="1" x14ac:dyDescent="0.25">
      <c r="A355" s="6" t="s">
        <v>757</v>
      </c>
      <c r="B355" s="7" t="s">
        <v>758</v>
      </c>
      <c r="C355" s="8">
        <v>45819</v>
      </c>
      <c r="D355" s="11" t="s">
        <v>759</v>
      </c>
      <c r="E355" s="9" t="str">
        <f t="shared" si="26"/>
        <v>🔴 Infraestrutura (Telebras)</v>
      </c>
      <c r="F355" s="10">
        <v>45835</v>
      </c>
      <c r="G355" s="11" t="s">
        <v>760</v>
      </c>
      <c r="H355" s="11" t="str">
        <f>IF(G355="","",IF(AND(OR(ISNUMBER(SEARCH("TELEBRAS",UPPER(G355))),ISNUMBER(SEARCH("TLB",UPPER(G355))),ISNUMBER(SEARCH("LINK",UPPER(G355))),ISNUMBER(SEARCH("ROTA",UPPER(G355))),ISNUMBER(SEARCH("ENERGIA",UPPER(G355)))),OR(ISNUMBER(SEARCH("MVC",UPPER(G355))),ISNUMBER(SEARCH("FOTOS",UPPER(G355))),ISNUMBER(SEARCH("DOC",UPPER(G355))),ISNUMBER(SEARCH("TERMO",UPPER(G355))),ISNUMBER(SEARCH("CORREÇÃO",UPPER(G355))),ISNUMBER(SEARCH("CORRECAO",UPPER(G355))))),"🔴🟠 Misto (Telebras + MVC)",
 IF(OR(ISNUMBER(SEARCH("TELEBRAS",UPPER(G355))),ISNUMBER(SEARCH("TLB",UPPER(G355))),ISNUMBER(SEARCH("LINK",UPPER(G355))),ISNUMBER(SEARCH("ROTA",UPPER(G355))),ISNUMBER(SEARCH("ENERGIA",UPPER(G355)))),"🔴 Infraestrutura (Telebras)",
 IF(OR(ISNUMBER(SEARCH("MVC",UPPER(G355))),ISNUMBER(SEARCH("FOTOS",UPPER(G355))),ISNUMBER(SEARCH("DOC",UPPER(G355))),ISNUMBER(SEARCH("TERMO",UPPER(G355))),ISNUMBER(SEARCH("CORREÇÃO",UPPER(G355))),ISNUMBER(SEARCH("CORRECAO",UPPER(G355)))),"🟠 Pendência Operacional (MVC)",
 IF(OR(ISNUMBER(SEARCH("FECHADO",UPPER(G355))),ISNUMBER(SEARCH("HORÁRIO",UPPER(G355))),ISNUMBER(SEARCH("TARDE",UPPER(G355))),ISNUMBER(SEARCH("CORREIOS",UPPER(G355))),ISNUMBER(SEARCH("MATERIAL",UPPER(G355))),ISNUMBER(SEARCH("REAGENDADA",UPPER(G355))),ISNUMBER(SEARCH("REAGENDADO",UPPER(G355))),ISNUMBER(SEARCH("ALLTECH",UPPER(G355))),ISNUMBER(SEARCH("MA",UPPER(G355))),ISNUMBER(SEARCH("SEFAZ",UPPER(G355)))),"🟡 Acesso / MA / Logística",
 IF(OR(ISNUMBER(SEARCH("FINALIZADO",UPPER(G355))),ISNUMBER(SEARCH("FINALIZADA",UPPER(G355))),ISNUMBER(SEARCH("MIGRADA",UPPER(G355)))),"✅ Concluído",
 "Outros / A Verificar"))))))</f>
        <v>🔴 Infraestrutura (Telebras)</v>
      </c>
      <c r="I355" s="10">
        <v>45861</v>
      </c>
      <c r="J355" s="11" t="s">
        <v>761</v>
      </c>
      <c r="K355" s="11" t="str">
        <f t="shared" si="25"/>
        <v>🔴 Infraestrutura (Telebras)</v>
      </c>
      <c r="L355" s="11"/>
      <c r="M355" s="11"/>
    </row>
    <row r="356" spans="1:13" hidden="1" x14ac:dyDescent="0.25">
      <c r="A356" s="6" t="s">
        <v>762</v>
      </c>
      <c r="B356" s="7" t="s">
        <v>763</v>
      </c>
      <c r="C356" s="8">
        <v>45897</v>
      </c>
      <c r="D356" s="11" t="s">
        <v>650</v>
      </c>
      <c r="E356" s="9" t="str">
        <f t="shared" si="26"/>
        <v>🔴 Infraestrutura (Telebras)</v>
      </c>
      <c r="F356" s="10"/>
      <c r="G356" s="11"/>
      <c r="H356" s="11" t="str">
        <f t="shared" si="24"/>
        <v/>
      </c>
      <c r="I356" s="10"/>
      <c r="J356" s="11"/>
      <c r="K356" s="11" t="str">
        <f t="shared" si="25"/>
        <v/>
      </c>
      <c r="L356" s="11"/>
      <c r="M356" s="11"/>
    </row>
    <row r="357" spans="1:13" hidden="1" x14ac:dyDescent="0.25">
      <c r="A357" s="6" t="s">
        <v>764</v>
      </c>
      <c r="B357" s="7" t="s">
        <v>765</v>
      </c>
      <c r="C357" s="8">
        <v>45882</v>
      </c>
      <c r="D357" s="11" t="s">
        <v>15</v>
      </c>
      <c r="E357" s="9" t="str">
        <f t="shared" si="26"/>
        <v>✅ Concluído</v>
      </c>
      <c r="F357" s="10"/>
      <c r="G357" s="11"/>
      <c r="H357" s="11" t="str">
        <f t="shared" si="24"/>
        <v/>
      </c>
      <c r="I357" s="10"/>
      <c r="J357" s="11"/>
      <c r="K357" s="11" t="str">
        <f t="shared" si="25"/>
        <v/>
      </c>
      <c r="L357" s="11"/>
      <c r="M357" s="11"/>
    </row>
    <row r="358" spans="1:13" ht="24" hidden="1" x14ac:dyDescent="0.25">
      <c r="A358" s="6" t="s">
        <v>766</v>
      </c>
      <c r="B358" s="7" t="s">
        <v>767</v>
      </c>
      <c r="C358" s="8">
        <v>45912</v>
      </c>
      <c r="D358" s="11" t="s">
        <v>853</v>
      </c>
      <c r="E358" s="9" t="str">
        <f t="shared" si="26"/>
        <v>🔴 Infraestrutura (Telebras)</v>
      </c>
      <c r="F358" s="10">
        <v>45979</v>
      </c>
      <c r="G358" s="11" t="s">
        <v>854</v>
      </c>
      <c r="H358" s="11" t="str">
        <f>IF(G358="","",IF(AND(OR(ISNUMBER(SEARCH("TELEBRAS",UPPER(G358))),ISNUMBER(SEARCH("TLB",UPPER(G358))),ISNUMBER(SEARCH("LINK",UPPER(G358))),ISNUMBER(SEARCH("ROTA",UPPER(G358))),ISNUMBER(SEARCH("ENERGIA",UPPER(G358)))),OR(ISNUMBER(SEARCH("MVC",UPPER(G358))),ISNUMBER(SEARCH("FOTOS",UPPER(G358))),ISNUMBER(SEARCH("DOC",UPPER(G358))),ISNUMBER(SEARCH("TERMO",UPPER(G358))),ISNUMBER(SEARCH("CORREÇÃO",UPPER(G358))),ISNUMBER(SEARCH("CORRECAO",UPPER(G358))))),"🔴🟠 Misto (Telebras + MVC)",
 IF(OR(ISNUMBER(SEARCH("TELEBRAS",UPPER(G358))),ISNUMBER(SEARCH("TLB",UPPER(G358))),ISNUMBER(SEARCH("LINK",UPPER(G358))),ISNUMBER(SEARCH("ROTA",UPPER(G358))),ISNUMBER(SEARCH("ENERGIA",UPPER(G358)))),"🔴 Infraestrutura (Telebras)",
 IF(OR(ISNUMBER(SEARCH("MVC",UPPER(G358))),ISNUMBER(SEARCH("FOTOS",UPPER(G358))),ISNUMBER(SEARCH("DOC",UPPER(G358))),ISNUMBER(SEARCH("TERMO",UPPER(G358))),ISNUMBER(SEARCH("CORREÇÃO",UPPER(G358))),ISNUMBER(SEARCH("CORRECAO",UPPER(G358)))),"🟠 Pendência Operacional (MVC)",
 IF(OR(ISNUMBER(SEARCH("FECHADO",UPPER(G358))),ISNUMBER(SEARCH("HORÁRIO",UPPER(G358))),ISNUMBER(SEARCH("TARDE",UPPER(G358))),ISNUMBER(SEARCH("CORREIOS",UPPER(G358))),ISNUMBER(SEARCH("MATERIAL",UPPER(G358))),ISNUMBER(SEARCH("REAGENDADA",UPPER(G358))),ISNUMBER(SEARCH("REAGENDADO",UPPER(G358))),ISNUMBER(SEARCH("ALLTECH",UPPER(G358))),ISNUMBER(SEARCH("MA",UPPER(G358))),ISNUMBER(SEARCH("SEFAZ",UPPER(G358)))),"🟡 Acesso / MA / Logística",
 IF(OR(ISNUMBER(SEARCH("FINALIZADO",UPPER(G358))),ISNUMBER(SEARCH("FINALIZADA",UPPER(G358))),ISNUMBER(SEARCH("MIGRADA",UPPER(G358)))),"✅ Concluído",
 "Outros / A Verificar"))))))</f>
        <v>🔴 Infraestrutura (Telebras)</v>
      </c>
      <c r="I358" s="10"/>
      <c r="J358" s="11"/>
      <c r="K358" s="11" t="str">
        <f t="shared" si="25"/>
        <v/>
      </c>
      <c r="L358" s="11"/>
      <c r="M358" s="11"/>
    </row>
    <row r="359" spans="1:13" hidden="1" x14ac:dyDescent="0.25">
      <c r="A359" s="6" t="s">
        <v>768</v>
      </c>
      <c r="B359" s="7" t="s">
        <v>769</v>
      </c>
      <c r="C359" s="8">
        <v>45909</v>
      </c>
      <c r="D359" s="11" t="s">
        <v>15</v>
      </c>
      <c r="E359" s="9" t="str">
        <f t="shared" si="26"/>
        <v>✅ Concluído</v>
      </c>
      <c r="F359" s="10"/>
      <c r="G359" s="11"/>
      <c r="H359" s="11" t="str">
        <f t="shared" si="24"/>
        <v/>
      </c>
      <c r="I359" s="10"/>
      <c r="J359" s="11"/>
      <c r="K359" s="11" t="str">
        <f t="shared" si="25"/>
        <v/>
      </c>
      <c r="L359" s="11"/>
      <c r="M359" s="11"/>
    </row>
    <row r="360" spans="1:13" hidden="1" x14ac:dyDescent="0.25">
      <c r="A360" s="6" t="s">
        <v>770</v>
      </c>
      <c r="B360" s="7" t="s">
        <v>771</v>
      </c>
      <c r="C360" s="8">
        <v>45889</v>
      </c>
      <c r="D360" s="11" t="s">
        <v>653</v>
      </c>
      <c r="E360" s="9" t="str">
        <f t="shared" si="26"/>
        <v>🔴 Infraestrutura (Telebras)</v>
      </c>
      <c r="F360" s="10"/>
      <c r="G360" s="11"/>
      <c r="H360" s="11" t="str">
        <f t="shared" si="24"/>
        <v/>
      </c>
      <c r="I360" s="10"/>
      <c r="J360" s="11"/>
      <c r="K360" s="11" t="str">
        <f t="shared" si="25"/>
        <v/>
      </c>
      <c r="L360" s="11"/>
      <c r="M360" s="11"/>
    </row>
    <row r="361" spans="1:13" hidden="1" x14ac:dyDescent="0.25">
      <c r="A361" s="6" t="s">
        <v>772</v>
      </c>
      <c r="B361" s="7" t="s">
        <v>773</v>
      </c>
      <c r="C361" s="8">
        <v>45817</v>
      </c>
      <c r="D361" s="11" t="s">
        <v>15</v>
      </c>
      <c r="E361" s="9" t="str">
        <f t="shared" si="26"/>
        <v>✅ Concluído</v>
      </c>
      <c r="F361" s="10"/>
      <c r="G361" s="11"/>
      <c r="H361" s="11" t="str">
        <f t="shared" si="24"/>
        <v/>
      </c>
      <c r="I361" s="10"/>
      <c r="J361" s="11"/>
      <c r="K361" s="11" t="str">
        <f t="shared" si="25"/>
        <v/>
      </c>
      <c r="L361" s="11"/>
      <c r="M361" s="11"/>
    </row>
    <row r="362" spans="1:13" ht="24" hidden="1" x14ac:dyDescent="0.25">
      <c r="A362" s="6" t="s">
        <v>774</v>
      </c>
      <c r="B362" s="7" t="s">
        <v>775</v>
      </c>
      <c r="C362" s="8">
        <v>45973</v>
      </c>
      <c r="D362" s="11" t="s">
        <v>887</v>
      </c>
      <c r="E362" s="9" t="str">
        <f t="shared" si="26"/>
        <v>🔴 Infraestrutura (Telebras)</v>
      </c>
      <c r="F362" s="10"/>
      <c r="G362" s="11"/>
      <c r="H362" s="11" t="str">
        <f t="shared" si="24"/>
        <v/>
      </c>
      <c r="I362" s="10"/>
      <c r="J362" s="11"/>
      <c r="K362" s="11" t="str">
        <f t="shared" si="25"/>
        <v/>
      </c>
      <c r="L362" s="11"/>
      <c r="M362" s="11"/>
    </row>
    <row r="363" spans="1:13" hidden="1" x14ac:dyDescent="0.25">
      <c r="A363" s="6" t="s">
        <v>776</v>
      </c>
      <c r="B363" s="7" t="s">
        <v>777</v>
      </c>
      <c r="C363" s="8">
        <v>45894</v>
      </c>
      <c r="D363" s="11" t="s">
        <v>650</v>
      </c>
      <c r="E363" s="9" t="str">
        <f t="shared" si="26"/>
        <v>🔴 Infraestrutura (Telebras)</v>
      </c>
      <c r="F363" s="10">
        <v>45909</v>
      </c>
      <c r="G363" s="11" t="s">
        <v>886</v>
      </c>
      <c r="H363" s="11" t="str">
        <f>IF(G363="","",IF(AND(OR(ISNUMBER(SEARCH("TELEBRAS",UPPER(G363))),ISNUMBER(SEARCH("TLB",UPPER(G363))),ISNUMBER(SEARCH("LINK",UPPER(G363))),ISNUMBER(SEARCH("ROTA",UPPER(G363))),ISNUMBER(SEARCH("ENERGIA",UPPER(G363)))),OR(ISNUMBER(SEARCH("MVC",UPPER(G363))),ISNUMBER(SEARCH("FOTOS",UPPER(G363))),ISNUMBER(SEARCH("DOC",UPPER(G363))),ISNUMBER(SEARCH("TERMO",UPPER(G363))),ISNUMBER(SEARCH("CORREÇÃO",UPPER(G363))),ISNUMBER(SEARCH("CORRECAO",UPPER(G363))))),"🔴🟠 Misto (Telebras + MVC)",
 IF(OR(ISNUMBER(SEARCH("TELEBRAS",UPPER(G363))),ISNUMBER(SEARCH("TLB",UPPER(G363))),ISNUMBER(SEARCH("LINK",UPPER(G363))),ISNUMBER(SEARCH("ROTA",UPPER(G363))),ISNUMBER(SEARCH("ENERGIA",UPPER(G363)))),"🔴 Infraestrutura (Telebras)",
 IF(OR(ISNUMBER(SEARCH("MVC",UPPER(G363))),ISNUMBER(SEARCH("FOTOS",UPPER(G363))),ISNUMBER(SEARCH("DOC",UPPER(G363))),ISNUMBER(SEARCH("TERMO",UPPER(G363))),ISNUMBER(SEARCH("CORREÇÃO",UPPER(G363))),ISNUMBER(SEARCH("CORRECAO",UPPER(G363)))),"🟠 Pendência Operacional (MVC)",
 IF(OR(ISNUMBER(SEARCH("FECHADO",UPPER(G363))),ISNUMBER(SEARCH("HORÁRIO",UPPER(G363))),ISNUMBER(SEARCH("TARDE",UPPER(G363))),ISNUMBER(SEARCH("CORREIOS",UPPER(G363))),ISNUMBER(SEARCH("MATERIAL",UPPER(G363))),ISNUMBER(SEARCH("REAGENDADA",UPPER(G363))),ISNUMBER(SEARCH("REAGENDADO",UPPER(G363))),ISNUMBER(SEARCH("ALLTECH",UPPER(G363))),ISNUMBER(SEARCH("MA",UPPER(G363))),ISNUMBER(SEARCH("SEFAZ",UPPER(G363)))),"🟡 Acesso / MA / Logística",
 IF(OR(ISNUMBER(SEARCH("FINALIZADO",UPPER(G363))),ISNUMBER(SEARCH("FINALIZADA",UPPER(G363))),ISNUMBER(SEARCH("MIGRADA",UPPER(G363)))),"✅ Concluído",
 "Outros / A Verificar"))))))</f>
        <v>✅ Concluído</v>
      </c>
      <c r="I363" s="10"/>
      <c r="J363" s="11"/>
      <c r="K363" s="11" t="str">
        <f t="shared" si="25"/>
        <v/>
      </c>
      <c r="L363" s="11"/>
      <c r="M363" s="11"/>
    </row>
    <row r="364" spans="1:13" hidden="1" x14ac:dyDescent="0.25">
      <c r="A364" s="6" t="s">
        <v>778</v>
      </c>
      <c r="B364" s="7" t="s">
        <v>779</v>
      </c>
      <c r="C364" s="8">
        <v>45897</v>
      </c>
      <c r="D364" s="11" t="s">
        <v>15</v>
      </c>
      <c r="E364" s="9" t="str">
        <f t="shared" si="26"/>
        <v>✅ Concluído</v>
      </c>
      <c r="F364" s="10"/>
      <c r="G364" s="11"/>
      <c r="H364" s="11" t="str">
        <f t="shared" si="24"/>
        <v/>
      </c>
      <c r="I364" s="10"/>
      <c r="J364" s="11"/>
      <c r="K364" s="11" t="str">
        <f t="shared" si="25"/>
        <v/>
      </c>
      <c r="L364" s="11"/>
      <c r="M364" s="11"/>
    </row>
    <row r="365" spans="1:13" ht="24" hidden="1" x14ac:dyDescent="0.25">
      <c r="A365" s="6" t="s">
        <v>780</v>
      </c>
      <c r="B365" s="7" t="s">
        <v>781</v>
      </c>
      <c r="C365" s="8">
        <v>45821</v>
      </c>
      <c r="D365" s="11" t="s">
        <v>782</v>
      </c>
      <c r="E365" s="9" t="str">
        <f t="shared" si="26"/>
        <v>🟡 Acesso / MA / Logística</v>
      </c>
      <c r="F365" s="10">
        <v>45824</v>
      </c>
      <c r="G365" s="11" t="s">
        <v>739</v>
      </c>
      <c r="H365" s="11" t="str">
        <f t="shared" ref="H365:H367" si="28">IF(G365="","",IF(AND(OR(ISNUMBER(SEARCH("TELEBRAS",UPPER(G365))),ISNUMBER(SEARCH("TLB",UPPER(G365))),ISNUMBER(SEARCH("LINK",UPPER(G365))),ISNUMBER(SEARCH("ROTA",UPPER(G365))),ISNUMBER(SEARCH("ENERGIA",UPPER(G365)))),OR(ISNUMBER(SEARCH("MVC",UPPER(G365))),ISNUMBER(SEARCH("FOTOS",UPPER(G365))),ISNUMBER(SEARCH("DOC",UPPER(G365))),ISNUMBER(SEARCH("TERMO",UPPER(G365))),ISNUMBER(SEARCH("CORREÇÃO",UPPER(G365))),ISNUMBER(SEARCH("CORRECAO",UPPER(G365))))),"🔴🟠 Misto (Telebras + MVC)",
 IF(OR(ISNUMBER(SEARCH("TELEBRAS",UPPER(G365))),ISNUMBER(SEARCH("TLB",UPPER(G365))),ISNUMBER(SEARCH("LINK",UPPER(G365))),ISNUMBER(SEARCH("ROTA",UPPER(G365))),ISNUMBER(SEARCH("ENERGIA",UPPER(G365)))),"🔴 Infraestrutura (Telebras)",
 IF(OR(ISNUMBER(SEARCH("MVC",UPPER(G365))),ISNUMBER(SEARCH("FOTOS",UPPER(G365))),ISNUMBER(SEARCH("DOC",UPPER(G365))),ISNUMBER(SEARCH("TERMO",UPPER(G365))),ISNUMBER(SEARCH("CORREÇÃO",UPPER(G365))),ISNUMBER(SEARCH("CORRECAO",UPPER(G365)))),"🟠 Pendência Operacional (MVC)",
 IF(OR(ISNUMBER(SEARCH("FECHADO",UPPER(G365))),ISNUMBER(SEARCH("HORÁRIO",UPPER(G365))),ISNUMBER(SEARCH("TARDE",UPPER(G365))),ISNUMBER(SEARCH("CORREIOS",UPPER(G365))),ISNUMBER(SEARCH("MATERIAL",UPPER(G365))),ISNUMBER(SEARCH("REAGENDADA",UPPER(G365))),ISNUMBER(SEARCH("REAGENDADO",UPPER(G365))),ISNUMBER(SEARCH("ALLTECH",UPPER(G365))),ISNUMBER(SEARCH("MA",UPPER(G365))),ISNUMBER(SEARCH("SEFAZ",UPPER(G365)))),"🟡 Acesso / MA / Logística",
 IF(OR(ISNUMBER(SEARCH("FINALIZADO",UPPER(G365))),ISNUMBER(SEARCH("FINALIZADA",UPPER(G365))),ISNUMBER(SEARCH("MIGRADA",UPPER(G365)))),"✅ Concluído",
 "Outros / A Verificar"))))))</f>
        <v>🔴 Infraestrutura (Telebras)</v>
      </c>
      <c r="I365" s="10">
        <v>45988</v>
      </c>
      <c r="J365" s="11" t="s">
        <v>15</v>
      </c>
      <c r="K365" s="11" t="str">
        <f t="shared" si="25"/>
        <v>✅ Concluído</v>
      </c>
      <c r="L365" s="11"/>
      <c r="M365" s="11"/>
    </row>
    <row r="366" spans="1:13" ht="24" hidden="1" x14ac:dyDescent="0.25">
      <c r="A366" s="6" t="s">
        <v>783</v>
      </c>
      <c r="B366" s="7" t="s">
        <v>784</v>
      </c>
      <c r="C366" s="8">
        <v>45849</v>
      </c>
      <c r="D366" s="11" t="s">
        <v>785</v>
      </c>
      <c r="E366" s="9" t="str">
        <f t="shared" si="26"/>
        <v>🔴 Infraestrutura (Telebras)</v>
      </c>
      <c r="F366" s="10">
        <v>45887</v>
      </c>
      <c r="G366" s="11" t="s">
        <v>15</v>
      </c>
      <c r="H366" s="11" t="str">
        <f t="shared" si="28"/>
        <v>✅ Concluído</v>
      </c>
      <c r="I366" s="10"/>
      <c r="J366" s="11"/>
      <c r="K366" s="11" t="str">
        <f t="shared" si="25"/>
        <v/>
      </c>
      <c r="L366" s="11"/>
      <c r="M366" s="11"/>
    </row>
    <row r="367" spans="1:13" ht="24" hidden="1" x14ac:dyDescent="0.25">
      <c r="A367" s="6" t="s">
        <v>786</v>
      </c>
      <c r="B367" s="7" t="s">
        <v>787</v>
      </c>
      <c r="C367" s="8">
        <v>45820</v>
      </c>
      <c r="D367" s="11" t="s">
        <v>884</v>
      </c>
      <c r="E367" s="9" t="str">
        <f t="shared" si="26"/>
        <v>🔴🟠 Misto (Telebras + MVC)</v>
      </c>
      <c r="F367" s="10">
        <v>45880</v>
      </c>
      <c r="G367" s="11" t="s">
        <v>888</v>
      </c>
      <c r="H367" s="11" t="str">
        <f t="shared" si="28"/>
        <v>✅ Concluído</v>
      </c>
      <c r="I367" s="10"/>
      <c r="J367" s="11"/>
      <c r="K367" s="11" t="str">
        <f t="shared" si="25"/>
        <v/>
      </c>
      <c r="L367" s="11"/>
      <c r="M367" s="11"/>
    </row>
    <row r="368" spans="1:13" hidden="1" x14ac:dyDescent="0.25">
      <c r="A368" s="6" t="s">
        <v>788</v>
      </c>
      <c r="B368" s="7" t="s">
        <v>789</v>
      </c>
      <c r="C368" s="8">
        <v>45799</v>
      </c>
      <c r="D368" s="11" t="s">
        <v>15</v>
      </c>
      <c r="E368" s="9" t="str">
        <f t="shared" si="26"/>
        <v>✅ Concluído</v>
      </c>
      <c r="F368" s="10"/>
      <c r="G368" s="11"/>
      <c r="H368" s="11" t="str">
        <f t="shared" si="24"/>
        <v/>
      </c>
      <c r="I368" s="10"/>
      <c r="J368" s="11"/>
      <c r="K368" s="11" t="str">
        <f t="shared" si="25"/>
        <v/>
      </c>
      <c r="L368" s="11"/>
      <c r="M368" s="11"/>
    </row>
    <row r="369" spans="1:13" hidden="1" x14ac:dyDescent="0.25">
      <c r="A369" s="6" t="s">
        <v>790</v>
      </c>
      <c r="B369" s="7" t="s">
        <v>791</v>
      </c>
      <c r="C369" s="8"/>
      <c r="D369" s="9"/>
      <c r="E369" s="9" t="str">
        <f t="shared" si="26"/>
        <v/>
      </c>
      <c r="F369" s="10"/>
      <c r="G369" s="11"/>
      <c r="H369" s="11" t="str">
        <f t="shared" si="24"/>
        <v/>
      </c>
      <c r="I369" s="10"/>
      <c r="J369" s="11"/>
      <c r="K369" s="11" t="str">
        <f t="shared" si="25"/>
        <v/>
      </c>
      <c r="L369" s="11"/>
      <c r="M369" s="11"/>
    </row>
    <row r="370" spans="1:13" ht="36" hidden="1" x14ac:dyDescent="0.25">
      <c r="A370" s="6" t="s">
        <v>792</v>
      </c>
      <c r="B370" s="7" t="s">
        <v>793</v>
      </c>
      <c r="C370" s="8">
        <v>45860</v>
      </c>
      <c r="D370" s="11" t="s">
        <v>794</v>
      </c>
      <c r="E370" s="9" t="str">
        <f t="shared" si="26"/>
        <v>🔴 Infraestrutura (Telebras)</v>
      </c>
      <c r="F370" s="10">
        <v>45902</v>
      </c>
      <c r="G370" s="11" t="s">
        <v>795</v>
      </c>
      <c r="H370" s="11" t="str">
        <f t="shared" ref="H370:H371" si="29">IF(G370="","",IF(AND(OR(ISNUMBER(SEARCH("TELEBRAS",UPPER(G370))),ISNUMBER(SEARCH("TLB",UPPER(G370))),ISNUMBER(SEARCH("LINK",UPPER(G370))),ISNUMBER(SEARCH("ROTA",UPPER(G370))),ISNUMBER(SEARCH("ENERGIA",UPPER(G370)))),OR(ISNUMBER(SEARCH("MVC",UPPER(G370))),ISNUMBER(SEARCH("FOTOS",UPPER(G370))),ISNUMBER(SEARCH("DOC",UPPER(G370))),ISNUMBER(SEARCH("TERMO",UPPER(G370))),ISNUMBER(SEARCH("CORREÇÃO",UPPER(G370))),ISNUMBER(SEARCH("CORRECAO",UPPER(G370))))),"🔴🟠 Misto (Telebras + MVC)",
 IF(OR(ISNUMBER(SEARCH("TELEBRAS",UPPER(G370))),ISNUMBER(SEARCH("TLB",UPPER(G370))),ISNUMBER(SEARCH("LINK",UPPER(G370))),ISNUMBER(SEARCH("ROTA",UPPER(G370))),ISNUMBER(SEARCH("ENERGIA",UPPER(G370)))),"🔴 Infraestrutura (Telebras)",
 IF(OR(ISNUMBER(SEARCH("MVC",UPPER(G370))),ISNUMBER(SEARCH("FOTOS",UPPER(G370))),ISNUMBER(SEARCH("DOC",UPPER(G370))),ISNUMBER(SEARCH("TERMO",UPPER(G370))),ISNUMBER(SEARCH("CORREÇÃO",UPPER(G370))),ISNUMBER(SEARCH("CORRECAO",UPPER(G370)))),"🟠 Pendência Operacional (MVC)",
 IF(OR(ISNUMBER(SEARCH("FECHADO",UPPER(G370))),ISNUMBER(SEARCH("HORÁRIO",UPPER(G370))),ISNUMBER(SEARCH("TARDE",UPPER(G370))),ISNUMBER(SEARCH("CORREIOS",UPPER(G370))),ISNUMBER(SEARCH("MATERIAL",UPPER(G370))),ISNUMBER(SEARCH("REAGENDADA",UPPER(G370))),ISNUMBER(SEARCH("REAGENDADO",UPPER(G370))),ISNUMBER(SEARCH("ALLTECH",UPPER(G370))),ISNUMBER(SEARCH("MA",UPPER(G370))),ISNUMBER(SEARCH("SEFAZ",UPPER(G370)))),"🟡 Acesso / MA / Logística",
 IF(OR(ISNUMBER(SEARCH("FINALIZADO",UPPER(G370))),ISNUMBER(SEARCH("FINALIZADA",UPPER(G370))),ISNUMBER(SEARCH("MIGRADA",UPPER(G370)))),"✅ Concluído",
 "Outros / A Verificar"))))))</f>
        <v>🔴 Infraestrutura (Telebras)</v>
      </c>
      <c r="I370" s="10"/>
      <c r="J370" s="11"/>
      <c r="K370" s="11" t="str">
        <f t="shared" si="25"/>
        <v/>
      </c>
      <c r="L370" s="11"/>
      <c r="M370" s="11"/>
    </row>
    <row r="371" spans="1:13" ht="24" hidden="1" x14ac:dyDescent="0.25">
      <c r="A371" s="6" t="s">
        <v>796</v>
      </c>
      <c r="B371" s="7" t="s">
        <v>797</v>
      </c>
      <c r="C371" s="8">
        <v>45862</v>
      </c>
      <c r="D371" s="11" t="s">
        <v>798</v>
      </c>
      <c r="E371" s="9" t="str">
        <f t="shared" si="26"/>
        <v>🔴 Infraestrutura (Telebras)</v>
      </c>
      <c r="F371" s="10">
        <v>45980</v>
      </c>
      <c r="G371" s="11" t="s">
        <v>870</v>
      </c>
      <c r="H371" s="11" t="str">
        <f t="shared" si="29"/>
        <v>🔴 Infraestrutura (Telebras)</v>
      </c>
      <c r="I371" s="10"/>
      <c r="J371" s="11"/>
      <c r="K371" s="11" t="str">
        <f t="shared" si="25"/>
        <v/>
      </c>
      <c r="L371" s="11"/>
      <c r="M371" s="11"/>
    </row>
    <row r="372" spans="1:13" ht="36" hidden="1" x14ac:dyDescent="0.25">
      <c r="A372" s="6" t="s">
        <v>799</v>
      </c>
      <c r="B372" s="7" t="s">
        <v>800</v>
      </c>
      <c r="C372" s="8">
        <v>45882</v>
      </c>
      <c r="D372" s="11" t="s">
        <v>855</v>
      </c>
      <c r="E372" s="9" t="str">
        <f t="shared" si="26"/>
        <v>🔴🟠 Misto (Telebras + MVC)</v>
      </c>
      <c r="F372" s="10"/>
      <c r="G372" s="11"/>
      <c r="H372" s="11" t="str">
        <f t="shared" si="24"/>
        <v/>
      </c>
      <c r="I372" s="10"/>
      <c r="J372" s="11"/>
      <c r="K372" s="11" t="str">
        <f t="shared" si="25"/>
        <v/>
      </c>
      <c r="L372" s="11"/>
      <c r="M372" s="11"/>
    </row>
    <row r="373" spans="1:13" hidden="1" x14ac:dyDescent="0.25">
      <c r="A373" s="6" t="s">
        <v>801</v>
      </c>
      <c r="B373" s="7" t="s">
        <v>802</v>
      </c>
      <c r="C373" s="8">
        <v>45895</v>
      </c>
      <c r="D373" s="11" t="s">
        <v>15</v>
      </c>
      <c r="E373" s="9" t="str">
        <f t="shared" si="26"/>
        <v>✅ Concluído</v>
      </c>
      <c r="F373" s="10"/>
      <c r="G373" s="11"/>
      <c r="H373" s="11" t="str">
        <f t="shared" si="24"/>
        <v/>
      </c>
      <c r="I373" s="10"/>
      <c r="J373" s="11"/>
      <c r="K373" s="11" t="str">
        <f t="shared" si="25"/>
        <v/>
      </c>
      <c r="L373" s="11"/>
      <c r="M373" s="11"/>
    </row>
    <row r="374" spans="1:13" ht="24" hidden="1" x14ac:dyDescent="0.25">
      <c r="A374" s="6" t="s">
        <v>803</v>
      </c>
      <c r="B374" s="7" t="s">
        <v>804</v>
      </c>
      <c r="C374" s="8">
        <v>45887</v>
      </c>
      <c r="D374" s="11" t="s">
        <v>805</v>
      </c>
      <c r="E374" s="9" t="str">
        <f t="shared" si="26"/>
        <v>🔴 Infraestrutura (Telebras)</v>
      </c>
      <c r="F374" s="10">
        <v>45924</v>
      </c>
      <c r="G374" s="11" t="s">
        <v>15</v>
      </c>
      <c r="H374" s="11" t="str">
        <f>IF(G374="","",IF(AND(OR(ISNUMBER(SEARCH("TELEBRAS",UPPER(G374))),ISNUMBER(SEARCH("TLB",UPPER(G374))),ISNUMBER(SEARCH("LINK",UPPER(G374))),ISNUMBER(SEARCH("ROTA",UPPER(G374))),ISNUMBER(SEARCH("ENERGIA",UPPER(G374)))),OR(ISNUMBER(SEARCH("MVC",UPPER(G374))),ISNUMBER(SEARCH("FOTOS",UPPER(G374))),ISNUMBER(SEARCH("DOC",UPPER(G374))),ISNUMBER(SEARCH("TERMO",UPPER(G374))),ISNUMBER(SEARCH("CORREÇÃO",UPPER(G374))),ISNUMBER(SEARCH("CORRECAO",UPPER(G374))))),"🔴🟠 Misto (Telebras + MVC)",
 IF(OR(ISNUMBER(SEARCH("TELEBRAS",UPPER(G374))),ISNUMBER(SEARCH("TLB",UPPER(G374))),ISNUMBER(SEARCH("LINK",UPPER(G374))),ISNUMBER(SEARCH("ROTA",UPPER(G374))),ISNUMBER(SEARCH("ENERGIA",UPPER(G374)))),"🔴 Infraestrutura (Telebras)",
 IF(OR(ISNUMBER(SEARCH("MVC",UPPER(G374))),ISNUMBER(SEARCH("FOTOS",UPPER(G374))),ISNUMBER(SEARCH("DOC",UPPER(G374))),ISNUMBER(SEARCH("TERMO",UPPER(G374))),ISNUMBER(SEARCH("CORREÇÃO",UPPER(G374))),ISNUMBER(SEARCH("CORRECAO",UPPER(G374)))),"🟠 Pendência Operacional (MVC)",
 IF(OR(ISNUMBER(SEARCH("FECHADO",UPPER(G374))),ISNUMBER(SEARCH("HORÁRIO",UPPER(G374))),ISNUMBER(SEARCH("TARDE",UPPER(G374))),ISNUMBER(SEARCH("CORREIOS",UPPER(G374))),ISNUMBER(SEARCH("MATERIAL",UPPER(G374))),ISNUMBER(SEARCH("REAGENDADA",UPPER(G374))),ISNUMBER(SEARCH("REAGENDADO",UPPER(G374))),ISNUMBER(SEARCH("ALLTECH",UPPER(G374))),ISNUMBER(SEARCH("MA",UPPER(G374))),ISNUMBER(SEARCH("SEFAZ",UPPER(G374)))),"🟡 Acesso / MA / Logística",
 IF(OR(ISNUMBER(SEARCH("FINALIZADO",UPPER(G374))),ISNUMBER(SEARCH("FINALIZADA",UPPER(G374))),ISNUMBER(SEARCH("MIGRADA",UPPER(G374)))),"✅ Concluído",
 "Outros / A Verificar"))))))</f>
        <v>✅ Concluído</v>
      </c>
      <c r="I374" s="10"/>
      <c r="J374" s="11"/>
      <c r="K374" s="11" t="str">
        <f t="shared" si="25"/>
        <v/>
      </c>
      <c r="L374" s="11"/>
      <c r="M374" s="11"/>
    </row>
    <row r="375" spans="1:13" hidden="1" x14ac:dyDescent="0.25">
      <c r="A375" s="6" t="s">
        <v>806</v>
      </c>
      <c r="B375" s="7" t="s">
        <v>807</v>
      </c>
      <c r="C375" s="8">
        <v>45807</v>
      </c>
      <c r="D375" s="11" t="s">
        <v>15</v>
      </c>
      <c r="E375" s="9" t="str">
        <f t="shared" si="26"/>
        <v>✅ Concluído</v>
      </c>
      <c r="F375" s="10"/>
      <c r="G375" s="11"/>
      <c r="H375" s="11" t="str">
        <f t="shared" si="24"/>
        <v/>
      </c>
      <c r="I375" s="10"/>
      <c r="J375" s="11"/>
      <c r="K375" s="11" t="str">
        <f t="shared" si="25"/>
        <v/>
      </c>
      <c r="L375" s="11"/>
      <c r="M375" s="11"/>
    </row>
    <row r="376" spans="1:13" ht="60" hidden="1" x14ac:dyDescent="0.25">
      <c r="A376" s="6" t="s">
        <v>808</v>
      </c>
      <c r="B376" s="7" t="s">
        <v>809</v>
      </c>
      <c r="C376" s="8">
        <v>45889</v>
      </c>
      <c r="D376" s="11" t="s">
        <v>810</v>
      </c>
      <c r="E376" s="9" t="str">
        <f t="shared" si="26"/>
        <v>🔴 Infraestrutura (Telebras)</v>
      </c>
      <c r="F376" s="10"/>
      <c r="G376" s="11"/>
      <c r="H376" s="11" t="str">
        <f t="shared" si="24"/>
        <v/>
      </c>
      <c r="I376" s="10"/>
      <c r="J376" s="11"/>
      <c r="K376" s="11" t="str">
        <f t="shared" si="25"/>
        <v/>
      </c>
      <c r="L376" s="11"/>
      <c r="M376" s="11"/>
    </row>
    <row r="377" spans="1:13" ht="24" hidden="1" x14ac:dyDescent="0.25">
      <c r="A377" s="6" t="s">
        <v>811</v>
      </c>
      <c r="B377" s="7" t="s">
        <v>812</v>
      </c>
      <c r="C377" s="8">
        <v>45825</v>
      </c>
      <c r="D377" s="11" t="s">
        <v>813</v>
      </c>
      <c r="E377" s="9" t="str">
        <f t="shared" si="26"/>
        <v>🔴 Infraestrutura (Telebras)</v>
      </c>
      <c r="F377" s="10">
        <v>45911</v>
      </c>
      <c r="G377" s="11" t="s">
        <v>15</v>
      </c>
      <c r="H377" s="11" t="str">
        <f>IF(G377="","",IF(AND(OR(ISNUMBER(SEARCH("TELEBRAS",UPPER(G377))),ISNUMBER(SEARCH("TLB",UPPER(G377))),ISNUMBER(SEARCH("LINK",UPPER(G377))),ISNUMBER(SEARCH("ROTA",UPPER(G377))),ISNUMBER(SEARCH("ENERGIA",UPPER(G377)))),OR(ISNUMBER(SEARCH("MVC",UPPER(G377))),ISNUMBER(SEARCH("FOTOS",UPPER(G377))),ISNUMBER(SEARCH("DOC",UPPER(G377))),ISNUMBER(SEARCH("TERMO",UPPER(G377))),ISNUMBER(SEARCH("CORREÇÃO",UPPER(G377))),ISNUMBER(SEARCH("CORRECAO",UPPER(G377))))),"🔴🟠 Misto (Telebras + MVC)",
 IF(OR(ISNUMBER(SEARCH("TELEBRAS",UPPER(G377))),ISNUMBER(SEARCH("TLB",UPPER(G377))),ISNUMBER(SEARCH("LINK",UPPER(G377))),ISNUMBER(SEARCH("ROTA",UPPER(G377))),ISNUMBER(SEARCH("ENERGIA",UPPER(G377)))),"🔴 Infraestrutura (Telebras)",
 IF(OR(ISNUMBER(SEARCH("MVC",UPPER(G377))),ISNUMBER(SEARCH("FOTOS",UPPER(G377))),ISNUMBER(SEARCH("DOC",UPPER(G377))),ISNUMBER(SEARCH("TERMO",UPPER(G377))),ISNUMBER(SEARCH("CORREÇÃO",UPPER(G377))),ISNUMBER(SEARCH("CORRECAO",UPPER(G377)))),"🟠 Pendência Operacional (MVC)",
 IF(OR(ISNUMBER(SEARCH("FECHADO",UPPER(G377))),ISNUMBER(SEARCH("HORÁRIO",UPPER(G377))),ISNUMBER(SEARCH("TARDE",UPPER(G377))),ISNUMBER(SEARCH("CORREIOS",UPPER(G377))),ISNUMBER(SEARCH("MATERIAL",UPPER(G377))),ISNUMBER(SEARCH("REAGENDADA",UPPER(G377))),ISNUMBER(SEARCH("REAGENDADO",UPPER(G377))),ISNUMBER(SEARCH("ALLTECH",UPPER(G377))),ISNUMBER(SEARCH("MA",UPPER(G377))),ISNUMBER(SEARCH("SEFAZ",UPPER(G377)))),"🟡 Acesso / MA / Logística",
 IF(OR(ISNUMBER(SEARCH("FINALIZADO",UPPER(G377))),ISNUMBER(SEARCH("FINALIZADA",UPPER(G377))),ISNUMBER(SEARCH("MIGRADA",UPPER(G377)))),"✅ Concluído",
 "Outros / A Verificar"))))))</f>
        <v>✅ Concluído</v>
      </c>
      <c r="I377" s="10"/>
      <c r="J377" s="11"/>
      <c r="K377" s="11" t="str">
        <f t="shared" si="25"/>
        <v/>
      </c>
      <c r="L377" s="11"/>
      <c r="M377" s="11"/>
    </row>
    <row r="378" spans="1:13" ht="48" hidden="1" x14ac:dyDescent="0.25">
      <c r="A378" s="6" t="s">
        <v>814</v>
      </c>
      <c r="B378" s="7" t="s">
        <v>815</v>
      </c>
      <c r="C378" s="8">
        <v>45978</v>
      </c>
      <c r="D378" s="11" t="s">
        <v>816</v>
      </c>
      <c r="E378" s="9" t="str">
        <f t="shared" si="26"/>
        <v>🔴 Infraestrutura (Telebras)</v>
      </c>
      <c r="F378" s="10"/>
      <c r="G378" s="11"/>
      <c r="H378" s="11" t="str">
        <f t="shared" si="24"/>
        <v/>
      </c>
      <c r="I378" s="10"/>
      <c r="J378" s="11"/>
      <c r="K378" s="11" t="str">
        <f t="shared" si="25"/>
        <v/>
      </c>
      <c r="L378" s="11"/>
      <c r="M378" s="11"/>
    </row>
    <row r="379" spans="1:13" ht="24" hidden="1" x14ac:dyDescent="0.25">
      <c r="A379" s="6" t="s">
        <v>817</v>
      </c>
      <c r="B379" s="7" t="s">
        <v>818</v>
      </c>
      <c r="C379" s="8">
        <v>45931</v>
      </c>
      <c r="D379" s="11" t="s">
        <v>856</v>
      </c>
      <c r="E379" s="9" t="str">
        <f t="shared" si="26"/>
        <v>🔴 Infraestrutura (Telebras)</v>
      </c>
      <c r="F379" s="10">
        <v>45952</v>
      </c>
      <c r="G379" s="11" t="s">
        <v>819</v>
      </c>
      <c r="H379" s="11" t="str">
        <f t="shared" ref="H379:H381" si="30">IF(G379="","",IF(AND(OR(ISNUMBER(SEARCH("TELEBRAS",UPPER(G379))),ISNUMBER(SEARCH("TLB",UPPER(G379))),ISNUMBER(SEARCH("LINK",UPPER(G379))),ISNUMBER(SEARCH("ROTA",UPPER(G379))),ISNUMBER(SEARCH("ENERGIA",UPPER(G379)))),OR(ISNUMBER(SEARCH("MVC",UPPER(G379))),ISNUMBER(SEARCH("FOTOS",UPPER(G379))),ISNUMBER(SEARCH("DOC",UPPER(G379))),ISNUMBER(SEARCH("TERMO",UPPER(G379))),ISNUMBER(SEARCH("CORREÇÃO",UPPER(G379))),ISNUMBER(SEARCH("CORRECAO",UPPER(G379))))),"🔴🟠 Misto (Telebras + MVC)",
 IF(OR(ISNUMBER(SEARCH("TELEBRAS",UPPER(G379))),ISNUMBER(SEARCH("TLB",UPPER(G379))),ISNUMBER(SEARCH("LINK",UPPER(G379))),ISNUMBER(SEARCH("ROTA",UPPER(G379))),ISNUMBER(SEARCH("ENERGIA",UPPER(G379)))),"🔴 Infraestrutura (Telebras)",
 IF(OR(ISNUMBER(SEARCH("MVC",UPPER(G379))),ISNUMBER(SEARCH("FOTOS",UPPER(G379))),ISNUMBER(SEARCH("DOC",UPPER(G379))),ISNUMBER(SEARCH("TERMO",UPPER(G379))),ISNUMBER(SEARCH("CORREÇÃO",UPPER(G379))),ISNUMBER(SEARCH("CORRECAO",UPPER(G379)))),"🟠 Pendência Operacional (MVC)",
 IF(OR(ISNUMBER(SEARCH("FECHADO",UPPER(G379))),ISNUMBER(SEARCH("HORÁRIO",UPPER(G379))),ISNUMBER(SEARCH("TARDE",UPPER(G379))),ISNUMBER(SEARCH("CORREIOS",UPPER(G379))),ISNUMBER(SEARCH("MATERIAL",UPPER(G379))),ISNUMBER(SEARCH("REAGENDADA",UPPER(G379))),ISNUMBER(SEARCH("REAGENDADO",UPPER(G379))),ISNUMBER(SEARCH("ALLTECH",UPPER(G379))),ISNUMBER(SEARCH("MA",UPPER(G379))),ISNUMBER(SEARCH("SEFAZ",UPPER(G379)))),"🟡 Acesso / MA / Logística",
 IF(OR(ISNUMBER(SEARCH("FINALIZADO",UPPER(G379))),ISNUMBER(SEARCH("FINALIZADA",UPPER(G379))),ISNUMBER(SEARCH("MIGRADA",UPPER(G379)))),"✅ Concluído",
 "Outros / A Verificar"))))))</f>
        <v>🔴 Infraestrutura (Telebras)</v>
      </c>
      <c r="I379" s="10">
        <v>45971</v>
      </c>
      <c r="J379" s="11" t="s">
        <v>15</v>
      </c>
      <c r="K379" s="11" t="str">
        <f t="shared" si="25"/>
        <v>✅ Concluído</v>
      </c>
      <c r="L379" s="11"/>
      <c r="M379" s="11"/>
    </row>
    <row r="380" spans="1:13" ht="24" hidden="1" x14ac:dyDescent="0.25">
      <c r="A380" s="6" t="s">
        <v>820</v>
      </c>
      <c r="B380" s="7" t="s">
        <v>821</v>
      </c>
      <c r="C380" s="8">
        <v>45870</v>
      </c>
      <c r="D380" s="11" t="s">
        <v>822</v>
      </c>
      <c r="E380" s="9" t="str">
        <f t="shared" si="26"/>
        <v>🔴 Infraestrutura (Telebras)</v>
      </c>
      <c r="F380" s="10">
        <v>45923</v>
      </c>
      <c r="G380" s="11" t="s">
        <v>15</v>
      </c>
      <c r="H380" s="11" t="str">
        <f t="shared" si="30"/>
        <v>✅ Concluído</v>
      </c>
      <c r="I380" s="10"/>
      <c r="J380" s="11"/>
      <c r="K380" s="11" t="str">
        <f t="shared" si="25"/>
        <v/>
      </c>
      <c r="L380" s="11"/>
      <c r="M380" s="11"/>
    </row>
    <row r="381" spans="1:13" ht="36" hidden="1" x14ac:dyDescent="0.25">
      <c r="A381" s="6" t="s">
        <v>823</v>
      </c>
      <c r="B381" s="7" t="s">
        <v>824</v>
      </c>
      <c r="C381" s="8">
        <v>45869</v>
      </c>
      <c r="D381" s="11" t="s">
        <v>825</v>
      </c>
      <c r="E381" s="9" t="str">
        <f t="shared" si="26"/>
        <v>🔴 Infraestrutura (Telebras)</v>
      </c>
      <c r="F381" s="10">
        <v>45888</v>
      </c>
      <c r="G381" s="11" t="s">
        <v>826</v>
      </c>
      <c r="H381" s="11" t="str">
        <f t="shared" si="30"/>
        <v>🔴 Infraestrutura (Telebras)</v>
      </c>
      <c r="I381" s="10">
        <v>45929</v>
      </c>
      <c r="J381" s="11" t="s">
        <v>15</v>
      </c>
      <c r="K381" s="11" t="str">
        <f t="shared" si="25"/>
        <v>✅ Concluído</v>
      </c>
      <c r="L381" s="11"/>
      <c r="M381" s="11"/>
    </row>
    <row r="382" spans="1:13" hidden="1" x14ac:dyDescent="0.25">
      <c r="A382" s="6" t="s">
        <v>827</v>
      </c>
      <c r="B382" s="7" t="s">
        <v>828</v>
      </c>
      <c r="C382" s="8">
        <v>45875</v>
      </c>
      <c r="D382" s="11" t="s">
        <v>15</v>
      </c>
      <c r="E382" s="9" t="str">
        <f t="shared" si="26"/>
        <v>✅ Concluído</v>
      </c>
      <c r="F382" s="10"/>
      <c r="G382" s="11"/>
      <c r="H382" s="11" t="str">
        <f t="shared" si="24"/>
        <v/>
      </c>
      <c r="I382" s="10"/>
      <c r="J382" s="11"/>
      <c r="K382" s="11" t="str">
        <f t="shared" si="25"/>
        <v/>
      </c>
      <c r="L382" s="11"/>
      <c r="M382" s="11"/>
    </row>
    <row r="383" spans="1:13" hidden="1" x14ac:dyDescent="0.25">
      <c r="A383" s="6" t="s">
        <v>829</v>
      </c>
      <c r="B383" s="7" t="s">
        <v>830</v>
      </c>
      <c r="C383" s="8">
        <v>45806</v>
      </c>
      <c r="D383" s="11" t="s">
        <v>15</v>
      </c>
      <c r="E383" s="9" t="str">
        <f t="shared" si="26"/>
        <v>✅ Concluído</v>
      </c>
      <c r="F383" s="10"/>
      <c r="G383" s="11"/>
      <c r="H383" s="11" t="str">
        <f t="shared" si="24"/>
        <v/>
      </c>
      <c r="I383" s="10"/>
      <c r="J383" s="11"/>
      <c r="K383" s="11" t="str">
        <f t="shared" si="25"/>
        <v/>
      </c>
      <c r="L383" s="11"/>
      <c r="M383" s="11"/>
    </row>
    <row r="384" spans="1:13" ht="48" hidden="1" x14ac:dyDescent="0.25">
      <c r="A384" s="6" t="s">
        <v>831</v>
      </c>
      <c r="B384" s="7" t="s">
        <v>832</v>
      </c>
      <c r="C384" s="8">
        <v>45819</v>
      </c>
      <c r="D384" s="11" t="s">
        <v>857</v>
      </c>
      <c r="E384" s="9" t="str">
        <f t="shared" si="26"/>
        <v>🔴🟠 Misto (Telebras + MVC)</v>
      </c>
      <c r="F384" s="10">
        <v>45882</v>
      </c>
      <c r="G384" s="11" t="s">
        <v>833</v>
      </c>
      <c r="H384" s="11" t="str">
        <f>IF(G384="","",IF(AND(OR(ISNUMBER(SEARCH("TELEBRAS",UPPER(G384))),ISNUMBER(SEARCH("TLB",UPPER(G384))),ISNUMBER(SEARCH("LINK",UPPER(G384))),ISNUMBER(SEARCH("ROTA",UPPER(G384))),ISNUMBER(SEARCH("ENERGIA",UPPER(G384)))),OR(ISNUMBER(SEARCH("MVC",UPPER(G384))),ISNUMBER(SEARCH("FOTOS",UPPER(G384))),ISNUMBER(SEARCH("DOC",UPPER(G384))),ISNUMBER(SEARCH("TERMO",UPPER(G384))),ISNUMBER(SEARCH("CORREÇÃO",UPPER(G384))),ISNUMBER(SEARCH("CORRECAO",UPPER(G384))))),"🔴🟠 Misto (Telebras + MVC)",
 IF(OR(ISNUMBER(SEARCH("TELEBRAS",UPPER(G384))),ISNUMBER(SEARCH("TLB",UPPER(G384))),ISNUMBER(SEARCH("LINK",UPPER(G384))),ISNUMBER(SEARCH("ROTA",UPPER(G384))),ISNUMBER(SEARCH("ENERGIA",UPPER(G384)))),"🔴 Infraestrutura (Telebras)",
 IF(OR(ISNUMBER(SEARCH("MVC",UPPER(G384))),ISNUMBER(SEARCH("FOTOS",UPPER(G384))),ISNUMBER(SEARCH("DOC",UPPER(G384))),ISNUMBER(SEARCH("TERMO",UPPER(G384))),ISNUMBER(SEARCH("CORREÇÃO",UPPER(G384))),ISNUMBER(SEARCH("CORRECAO",UPPER(G384)))),"🟠 Pendência Operacional (MVC)",
 IF(OR(ISNUMBER(SEARCH("FECHADO",UPPER(G384))),ISNUMBER(SEARCH("HORÁRIO",UPPER(G384))),ISNUMBER(SEARCH("TARDE",UPPER(G384))),ISNUMBER(SEARCH("CORREIOS",UPPER(G384))),ISNUMBER(SEARCH("MATERIAL",UPPER(G384))),ISNUMBER(SEARCH("REAGENDADA",UPPER(G384))),ISNUMBER(SEARCH("REAGENDADO",UPPER(G384))),ISNUMBER(SEARCH("ALLTECH",UPPER(G384))),ISNUMBER(SEARCH("MA",UPPER(G384))),ISNUMBER(SEARCH("SEFAZ",UPPER(G384)))),"🟡 Acesso / MA / Logística",
 IF(OR(ISNUMBER(SEARCH("FINALIZADO",UPPER(G384))),ISNUMBER(SEARCH("FINALIZADA",UPPER(G384))),ISNUMBER(SEARCH("MIGRADA",UPPER(G384)))),"✅ Concluído",
 "Outros / A Verificar"))))))</f>
        <v>🔴 Infraestrutura (Telebras)</v>
      </c>
      <c r="I384" s="10"/>
      <c r="J384" s="11"/>
      <c r="K384" s="11" t="str">
        <f t="shared" si="25"/>
        <v/>
      </c>
      <c r="L384" s="11"/>
      <c r="M384" s="11"/>
    </row>
    <row r="385" spans="1:13" hidden="1" x14ac:dyDescent="0.25">
      <c r="A385" s="14" t="s">
        <v>834</v>
      </c>
      <c r="B385" s="15" t="s">
        <v>835</v>
      </c>
      <c r="C385" s="8">
        <v>45789</v>
      </c>
      <c r="D385" s="11" t="s">
        <v>15</v>
      </c>
      <c r="E385" s="9" t="str">
        <f t="shared" si="26"/>
        <v>✅ Concluído</v>
      </c>
      <c r="F385" s="10"/>
      <c r="G385" s="11"/>
      <c r="H385" s="11" t="str">
        <f t="shared" si="24"/>
        <v/>
      </c>
      <c r="I385" s="10"/>
      <c r="J385" s="11"/>
      <c r="K385" s="11" t="str">
        <f t="shared" si="25"/>
        <v/>
      </c>
      <c r="L385" s="11"/>
      <c r="M385" s="11"/>
    </row>
    <row r="386" spans="1:13" x14ac:dyDescent="0.25">
      <c r="C386" s="5"/>
    </row>
    <row r="393" spans="1:13" x14ac:dyDescent="0.25">
      <c r="D393" s="16"/>
    </row>
  </sheetData>
  <protectedRanges>
    <protectedRange algorithmName="SHA-512" hashValue="8fhLDhncpi/KPPmiqBciMEzXrJzobttLRxLaVMqBOfDuFC3Fe7jAzBsvKxgydwRtqMAHSWU5WnoAB5pj6lyeaA==" saltValue="ueHyUE8YMCMk21S9oidr8Q==" spinCount="100000" sqref="A2:B385" name="Renata" securityDescriptor="O:WDG:WDD:(A;;CC;;;S-1-5-21-3033031211-62604957-4136868411-1693)"/>
    <protectedRange algorithmName="SHA-512" hashValue="8fhLDhncpi/KPPmiqBciMEzXrJzobttLRxLaVMqBOfDuFC3Fe7jAzBsvKxgydwRtqMAHSWU5WnoAB5pj6lyeaA==" saltValue="ueHyUE8YMCMk21S9oidr8Q==" spinCount="100000" sqref="C13:C385" name="Renata_3" securityDescriptor="O:WDG:WDD:(A;;CC;;;S-1-5-21-3033031211-62604957-4136868411-1693)"/>
  </protectedRange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Jonathas Silva</dc:creator>
  <cp:lastModifiedBy>Jonathas Silva</cp:lastModifiedBy>
  <cp:lastPrinted>2025-11-25T12:49:52Z</cp:lastPrinted>
  <dcterms:created xsi:type="dcterms:W3CDTF">2025-11-25T12:35:45Z</dcterms:created>
  <dcterms:modified xsi:type="dcterms:W3CDTF">2025-11-28T21:05:19Z</dcterms:modified>
</cp:coreProperties>
</file>